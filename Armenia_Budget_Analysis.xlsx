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inazo Nkunzi\Desktop\Data Analytics Projects\SQL Projects\SQL Armenia Budget Project 1\Budget Analysis\"/>
    </mc:Choice>
  </mc:AlternateContent>
  <xr:revisionPtr revIDLastSave="0" documentId="13_ncr:1_{B4363CEB-D781-44E5-858A-C7BD12EE2A69}" xr6:coauthVersionLast="47" xr6:coauthVersionMax="47" xr10:uidLastSave="{00000000-0000-0000-0000-000000000000}"/>
  <bookViews>
    <workbookView xWindow="0" yWindow="0" windowWidth="20490" windowHeight="10920" firstSheet="1" activeTab="3" xr2:uid="{99EED334-107F-49C5-AA7D-101F50898B01}"/>
  </bookViews>
  <sheets>
    <sheet name="Yearly_Spend" sheetId="1" r:id="rId1"/>
    <sheet name="Admin_Pivot1" sheetId="5" r:id="rId2"/>
    <sheet name="Admin_Changes_Pivot" sheetId="6" r:id="rId3"/>
    <sheet name="Admin_Function_Pivot" sheetId="11" r:id="rId4"/>
    <sheet name="Admin_Function_Table" sheetId="10" r:id="rId5"/>
    <sheet name="Function_Spend_Pivot" sheetId="9" r:id="rId6"/>
    <sheet name="Function_Spend_Table" sheetId="8" r:id="rId7"/>
    <sheet name="Ranking_Pivot" sheetId="7" r:id="rId8"/>
    <sheet name="Admin_Table" sheetId="4" r:id="rId9"/>
  </sheets>
  <calcPr calcId="191029"/>
  <pivotCaches>
    <pivotCache cacheId="0" r:id="rId10"/>
    <pivotCache cacheId="1" r:id="rId11"/>
    <pivotCache cacheId="2" r:id="rId12"/>
    <pivotCache cacheId="7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F2" i="1"/>
</calcChain>
</file>

<file path=xl/sharedStrings.xml><?xml version="1.0" encoding="utf-8"?>
<sst xmlns="http://schemas.openxmlformats.org/spreadsheetml/2006/main" count="2611" uniqueCount="221">
  <si>
    <t>year</t>
  </si>
  <si>
    <t>Yearly_Spending</t>
  </si>
  <si>
    <t>Previous_Year_Spending</t>
  </si>
  <si>
    <t>Growth_Percentage</t>
  </si>
  <si>
    <t>Increase</t>
  </si>
  <si>
    <t>Dcrease</t>
  </si>
  <si>
    <t>admin</t>
  </si>
  <si>
    <t>104001 Ministry of Territorial Administration of RA</t>
  </si>
  <si>
    <t>104018 Ministry of Transport and Communication of RA</t>
  </si>
  <si>
    <t>104016 Ministry of Labor and Social Affairs of RA</t>
  </si>
  <si>
    <t>104010 Ministry of Education and Science of RA</t>
  </si>
  <si>
    <t>105019 Police adjunct to the Government of RA</t>
  </si>
  <si>
    <t>104021 Ministry of Finance of RA</t>
  </si>
  <si>
    <t>104002 Ministry of Healthcare of RA</t>
  </si>
  <si>
    <t>104013 Ministry of Defense of RA</t>
  </si>
  <si>
    <t>105002 State Social Insurance Service of the Ministry of Labor and Social Affairs of RA</t>
  </si>
  <si>
    <t>400000 Community budgets</t>
  </si>
  <si>
    <t>func3</t>
  </si>
  <si>
    <t>090201 General primary education</t>
  </si>
  <si>
    <t>010102 Financial and fiscal relations</t>
  </si>
  <si>
    <t>030101 Police</t>
  </si>
  <si>
    <t>040501 Road transport</t>
  </si>
  <si>
    <t>100401 Family members and children</t>
  </si>
  <si>
    <t>010701 Operation in the line of public debt</t>
  </si>
  <si>
    <t>100201 Old age</t>
  </si>
  <si>
    <t>010801 General transfers executed between different levels of government</t>
  </si>
  <si>
    <t>020101 Military defense</t>
  </si>
  <si>
    <t>Local government spending</t>
  </si>
  <si>
    <t>Yearly_Rank</t>
  </si>
  <si>
    <t>Spending_Increase</t>
  </si>
  <si>
    <t>Growth_Rel_to_National_Total</t>
  </si>
  <si>
    <t>Row Labels</t>
  </si>
  <si>
    <t>Grand Total</t>
  </si>
  <si>
    <t>Sum of Yearly_Spending</t>
  </si>
  <si>
    <t>Sum of Growth_Rel_to_National_Total</t>
  </si>
  <si>
    <t>Average of Yearly_Rank</t>
  </si>
  <si>
    <t>Spending</t>
  </si>
  <si>
    <t>030701 Public order and security (not belonging to other classes)</t>
  </si>
  <si>
    <t>090502 Additional education</t>
  </si>
  <si>
    <t>101001 Staff of President of RA</t>
  </si>
  <si>
    <t>010101 Legislative and executive bodies, public administration</t>
  </si>
  <si>
    <t>110101 Reserve fund of the Government of RA</t>
  </si>
  <si>
    <t>080303 Information obtaining</t>
  </si>
  <si>
    <t>080402 Political parties, non-governmental organizations, trade unions</t>
  </si>
  <si>
    <t>090402 Post-university vocational education</t>
  </si>
  <si>
    <t>070401 Public healthcare services</t>
  </si>
  <si>
    <t>010103 Foreign affairs</t>
  </si>
  <si>
    <t>100902 Auxiliary services provided to social protection (not belonging to other classes)</t>
  </si>
  <si>
    <t>040901 Economic relations (not belonging to other classes)</t>
  </si>
  <si>
    <t>101002 National Assembly of RA</t>
  </si>
  <si>
    <t>101003 RA Government Staff</t>
  </si>
  <si>
    <t>040204 Irrigation</t>
  </si>
  <si>
    <t>040201 Agriculture</t>
  </si>
  <si>
    <t>010601 General public services (not belonging to other classes)</t>
  </si>
  <si>
    <t>090601 Auxiliary services provided to education</t>
  </si>
  <si>
    <t>010303 Other general services</t>
  </si>
  <si>
    <t>030302 Legal protection</t>
  </si>
  <si>
    <t>040304 Other fuel types</t>
  </si>
  <si>
    <t>040101 General economic and trade relations</t>
  </si>
  <si>
    <t>040704 Multi-purpose development programs</t>
  </si>
  <si>
    <t>080301 TV and radio programs</t>
  </si>
  <si>
    <t>010401 General research work</t>
  </si>
  <si>
    <t>080205 Art</t>
  </si>
  <si>
    <t>010302 General programming and statistical services</t>
  </si>
  <si>
    <t>080101 Recreation and sport services</t>
  </si>
  <si>
    <t>080401 Youth programs</t>
  </si>
  <si>
    <t>080302 Publishing houses, editorial offices</t>
  </si>
  <si>
    <t>070601 Adjacent healthcare services and programs</t>
  </si>
  <si>
    <t>040504 Air transport</t>
  </si>
  <si>
    <t>060301 Water-supply</t>
  </si>
  <si>
    <t>080204 Other cultural organizations</t>
  </si>
  <si>
    <t>100301 Persons who lost relatives</t>
  </si>
  <si>
    <t>102001 Constitutional Court of RA</t>
  </si>
  <si>
    <t>030301 Courts</t>
  </si>
  <si>
    <t>030401 Prosecutor's office</t>
  </si>
  <si>
    <t>102002 Judicial Department of RA</t>
  </si>
  <si>
    <t>102024 Judicial School</t>
  </si>
  <si>
    <t>102030 Supreme Judicial Council</t>
  </si>
  <si>
    <t>103001 Office of Public Prosecutor of RA</t>
  </si>
  <si>
    <t>040801 Research and development in the line of general economic, trade and labor issues</t>
  </si>
  <si>
    <t>103002 Special Investigatory Service of RA</t>
  </si>
  <si>
    <t>040505 Pipelines and other transport</t>
  </si>
  <si>
    <t>090102 General elementary education</t>
  </si>
  <si>
    <t>060401 Street lighting</t>
  </si>
  <si>
    <t>030201 Rescue service</t>
  </si>
  <si>
    <t>090202 General secondary (complete) education</t>
  </si>
  <si>
    <t>100601 Habitation securing</t>
  </si>
  <si>
    <t>050101 Waste removal</t>
  </si>
  <si>
    <t>050401 Biodiversity and nature protection</t>
  </si>
  <si>
    <t>060101 House-building</t>
  </si>
  <si>
    <t>080202 Museums and galleries</t>
  </si>
  <si>
    <t>040305 Electricity</t>
  </si>
  <si>
    <t>040503 Railway</t>
  </si>
  <si>
    <t>090501 Extracurricular education</t>
  </si>
  <si>
    <t>100901 Social security (not belonging to other classes)</t>
  </si>
  <si>
    <t>090301 Elementary vocational education</t>
  </si>
  <si>
    <t>100701 Special social privileges (not belonging to other classes)</t>
  </si>
  <si>
    <t>020501 Defense (not belonging to other classes)</t>
  </si>
  <si>
    <t>040401 Export of mineral resources, except natural fuel</t>
  </si>
  <si>
    <t>060601 House-building and public utilities (not belonging to other classes)</t>
  </si>
  <si>
    <t>090401 Higher vocational education</t>
  </si>
  <si>
    <t>050601 Environmental protection (not belonging to other classes)</t>
  </si>
  <si>
    <t>090101 Pre-school education</t>
  </si>
  <si>
    <t>010301 General services in the line of staff /personnel/</t>
  </si>
  <si>
    <t>070101 Pharmaceutical goods</t>
  </si>
  <si>
    <t>070301 General hospital services</t>
  </si>
  <si>
    <t>070201 General medical services</t>
  </si>
  <si>
    <t>070303 Medical, mother and child centers' services</t>
  </si>
  <si>
    <t>070302 Specialized hospital services</t>
  </si>
  <si>
    <t>070204 Paramedical services</t>
  </si>
  <si>
    <t>070202 Specialized medical services</t>
  </si>
  <si>
    <t>070602 Healthcare (not belonging to other classes)</t>
  </si>
  <si>
    <t>070203 Dental services</t>
  </si>
  <si>
    <t>070103 Medical devices and equipment</t>
  </si>
  <si>
    <t>090302 Secondary vocational education</t>
  </si>
  <si>
    <t>080201 Libraries</t>
  </si>
  <si>
    <t>070501 Research and development in the line of healthcare</t>
  </si>
  <si>
    <t>104003 Ministry of Justice of RA</t>
  </si>
  <si>
    <t>030501 Places of detention</t>
  </si>
  <si>
    <t>104004 Ministry of Economy of RA</t>
  </si>
  <si>
    <t>040703 Tourism</t>
  </si>
  <si>
    <t>040804 Research and development in the line of metal mining industry, industry and construction</t>
  </si>
  <si>
    <t>104005 Ministry of Foreign Affairs of RA</t>
  </si>
  <si>
    <t>020301 External military assistance</t>
  </si>
  <si>
    <t>020201 Civil defense</t>
  </si>
  <si>
    <t>080207 Monuments and cultural values restoration and preservation</t>
  </si>
  <si>
    <t>104006 Ministry of Nature Protection of RA</t>
  </si>
  <si>
    <t>040202 Forestry</t>
  </si>
  <si>
    <t>050301 Air pollution control</t>
  </si>
  <si>
    <t>104007 Ministry of Agriculture of RA</t>
  </si>
  <si>
    <t>040802 Research and development in the line of agriculture, forestry, fishery and hunting</t>
  </si>
  <si>
    <t>104009 Ministry of Energy and Natural Resources of RA</t>
  </si>
  <si>
    <t>040302 Mineral oils and natural gas</t>
  </si>
  <si>
    <t>040306 Non-electric energy</t>
  </si>
  <si>
    <t>050501 Research and development in the line of environmental protection</t>
  </si>
  <si>
    <t>090401 Higher education</t>
  </si>
  <si>
    <t>090801 Education (not belonging to other classes)</t>
  </si>
  <si>
    <t>010501 Research and development in the line of general public services</t>
  </si>
  <si>
    <t>080206 Cinematography</t>
  </si>
  <si>
    <t>080203 Culture houses, clubs, centers</t>
  </si>
  <si>
    <t>104011 Ministry of Culture of RA</t>
  </si>
  <si>
    <t>080601 Recreation, culture and religion (not belonging to other classes)</t>
  </si>
  <si>
    <t>020401 Research and development in defense</t>
  </si>
  <si>
    <t>100501 Unemployment</t>
  </si>
  <si>
    <t>100102 Disability</t>
  </si>
  <si>
    <t>100101 Ill health</t>
  </si>
  <si>
    <t>040102 General relations related with labor</t>
  </si>
  <si>
    <t>040601 Communication</t>
  </si>
  <si>
    <t>104020 Ministry of Urban Development of RA</t>
  </si>
  <si>
    <t>040403 Construction</t>
  </si>
  <si>
    <t>104022 Ministry of Sport and Youth Affairs of RA</t>
  </si>
  <si>
    <t>104023 Ministry of Emergency Situations of RA</t>
  </si>
  <si>
    <t>104024 Ministry of Diaspora of RA</t>
  </si>
  <si>
    <t>104025 Ministry of Finance of RA (medical insurance section)</t>
  </si>
  <si>
    <t>104026 Ministry of International Economic Integration and Reforms of the Republic of Armenia</t>
  </si>
  <si>
    <t>104026 The Ministry of International Economic Integration and Reform</t>
  </si>
  <si>
    <t>105003 National Statistics Service of RA</t>
  </si>
  <si>
    <t>105004 RA Public Services Regulatory Committee</t>
  </si>
  <si>
    <t>105005 RA Central Election Commission</t>
  </si>
  <si>
    <t>105006 Securities Commission of RA</t>
  </si>
  <si>
    <t>105007 Civil Service Council of RA</t>
  </si>
  <si>
    <t>105008 State Commission for the Protection of Economic Competition of RA</t>
  </si>
  <si>
    <t>105009 State Committee of the Real Estate Cadastre adjunct to the Government of RA</t>
  </si>
  <si>
    <t>105010 State Committee for Water Management of the Ministry of Territorial Administration of RA</t>
  </si>
  <si>
    <t>105012 National Commission for TV and Radio</t>
  </si>
  <si>
    <t>105013 State Revenue Committee adjunct to the Government of RA</t>
  </si>
  <si>
    <t>105014 Armenian Rescue Service of the Ministry of Emergency Situations of RA</t>
  </si>
  <si>
    <t>105015 State Committee of Science of the Ministry of Education and Science of RA</t>
  </si>
  <si>
    <t>105016 General Department of Civil Aviation adjunct to the Government of RA</t>
  </si>
  <si>
    <t>105017 Public Protocol Service Agency of the Ministry of Foreign Affairs of RA</t>
  </si>
  <si>
    <t>105018 National Security Service adjunct to the Government of RA</t>
  </si>
  <si>
    <t>030102 National Security</t>
  </si>
  <si>
    <t>030103 State protection</t>
  </si>
  <si>
    <t>105020 State Committee of the Real Estate Cadastre adjunct to the Government of RA</t>
  </si>
  <si>
    <t>105021 State Migration Service of the Ministry of Territorial Administration of RA</t>
  </si>
  <si>
    <t>105033 Council of Public TV and Radio Company of Armenia</t>
  </si>
  <si>
    <t>105034 Control Chamber of RA</t>
  </si>
  <si>
    <t>105035 Staff of Human Rights Defender</t>
  </si>
  <si>
    <t>105037 RA State Nuclear Safety Regulatory Committee by the Government</t>
  </si>
  <si>
    <t>040303 Nuclear fuel</t>
  </si>
  <si>
    <t>105040 RA National Security Council</t>
  </si>
  <si>
    <t>105041 RA National Security Council State Protection Service</t>
  </si>
  <si>
    <t>105042 Ministry of Agriculture of RA Food Safety Service</t>
  </si>
  <si>
    <t>105043 The State Committee of Architecture to the Government of RA</t>
  </si>
  <si>
    <t>105044 The Investigation Committee</t>
  </si>
  <si>
    <t>105045 State Committee on Urban Development under the RA Government</t>
  </si>
  <si>
    <t>060201 Community development</t>
  </si>
  <si>
    <t>105046 State Tourism Committee of the Ministry of Economic Development and Investments of the Republic of Armenia</t>
  </si>
  <si>
    <t>105047 Penitentiary Department of the Ministry of Justice of the Republic of Armenia</t>
  </si>
  <si>
    <t>105048 Enforcement Service of Judicial Acts of the Ministry of Justice of the Republic of Armenia</t>
  </si>
  <si>
    <t>105049 Ethics Committee for Senior Officials</t>
  </si>
  <si>
    <t>105050 State Forestry Committee of the Ministry of Nature Protection of RA</t>
  </si>
  <si>
    <t>105051 RA State Supervisory Service</t>
  </si>
  <si>
    <t>106001 Yerevan Municipality</t>
  </si>
  <si>
    <t>060501 Research and development in the line of house-building and public utilities</t>
  </si>
  <si>
    <t>106002 Aragatsotn Marzpetaran</t>
  </si>
  <si>
    <t>106003 Ararat Marzpetaran</t>
  </si>
  <si>
    <t>106004 Armavir Marzpetaran</t>
  </si>
  <si>
    <t>106005 Gegharkunik Marzpetaran</t>
  </si>
  <si>
    <t>106006 Lori Marzpetaran</t>
  </si>
  <si>
    <t>106007 Kotayk Marzpetaran</t>
  </si>
  <si>
    <t>106008 Shirak Marzpetaran</t>
  </si>
  <si>
    <t>106009 Syunik Marzpetaran</t>
  </si>
  <si>
    <t>106010 Vayots dzor Marzpetaran</t>
  </si>
  <si>
    <t>106011 Tavush Marzpetaran</t>
  </si>
  <si>
    <t>301002 Government of RA</t>
  </si>
  <si>
    <t>301007 Other bodies</t>
  </si>
  <si>
    <t>301020 Other bodies</t>
  </si>
  <si>
    <t>301021 Other bodies</t>
  </si>
  <si>
    <t>301022 Other bodies</t>
  </si>
  <si>
    <t>110102 Reserve fund of communities of RA</t>
  </si>
  <si>
    <t>050201 Sewage removal</t>
  </si>
  <si>
    <t>080501 Research and development in the line of recreation, culture and religion</t>
  </si>
  <si>
    <t>080403 Other religious and public services</t>
  </si>
  <si>
    <t>040805 Research and development in the line of transport</t>
  </si>
  <si>
    <t>040704 Development multipurpose programs</t>
  </si>
  <si>
    <t>090701 Research and development in education</t>
  </si>
  <si>
    <t>040203 Fishery and hunting</t>
  </si>
  <si>
    <t>040807 Research and development in the line of other spheres</t>
  </si>
  <si>
    <t>040803 Research and development in the line of fuel and energy</t>
  </si>
  <si>
    <t>Sum of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</si>
</sst>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Expenditure%</a:t>
            </a:r>
            <a:r>
              <a:rPr lang="en-US" baseline="0"/>
              <a:t> Increase/Decrease 2006-2022</a:t>
            </a:r>
            <a:endParaRPr lang="en-US"/>
          </a:p>
        </c:rich>
      </c:tx>
      <c:layout>
        <c:manualLayout>
          <c:xMode val="edge"/>
          <c:yMode val="edge"/>
          <c:x val="0.22339181286549703"/>
          <c:y val="6.1278539005505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193980138447603E-2"/>
          <c:y val="0.24850908162382432"/>
          <c:w val="0.90921602635927823"/>
          <c:h val="0.4541830126047494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Yearly_Spend!$I$1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Yearly_Spend!$H$2:$H$18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Yearly_Spend!$I$2:$I$18</c:f>
              <c:numCache>
                <c:formatCode>General</c:formatCode>
                <c:ptCount val="17"/>
                <c:pt idx="0">
                  <c:v>0</c:v>
                </c:pt>
                <c:pt idx="1">
                  <c:v>30.66</c:v>
                </c:pt>
                <c:pt idx="2">
                  <c:v>29.28</c:v>
                </c:pt>
                <c:pt idx="3">
                  <c:v>4.8499999999999996</c:v>
                </c:pt>
                <c:pt idx="4">
                  <c:v>22.78</c:v>
                </c:pt>
                <c:pt idx="5">
                  <c:v>4.2300000000000004</c:v>
                </c:pt>
                <c:pt idx="6">
                  <c:v>2.11</c:v>
                </c:pt>
                <c:pt idx="7">
                  <c:v>11.86</c:v>
                </c:pt>
                <c:pt idx="8">
                  <c:v>8.9600000000000009</c:v>
                </c:pt>
                <c:pt idx="9">
                  <c:v>12.47</c:v>
                </c:pt>
                <c:pt idx="10">
                  <c:v>2.66</c:v>
                </c:pt>
                <c:pt idx="11">
                  <c:v>2.2599999999999998</c:v>
                </c:pt>
                <c:pt idx="12">
                  <c:v>0</c:v>
                </c:pt>
                <c:pt idx="13">
                  <c:v>12.88</c:v>
                </c:pt>
                <c:pt idx="14">
                  <c:v>15.3</c:v>
                </c:pt>
                <c:pt idx="15">
                  <c:v>8.83</c:v>
                </c:pt>
                <c:pt idx="16">
                  <c:v>10.46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D-49F2-BFC8-2D54CF2969BD}"/>
            </c:ext>
          </c:extLst>
        </c:ser>
        <c:ser>
          <c:idx val="1"/>
          <c:order val="1"/>
          <c:tx>
            <c:strRef>
              <c:f>Yearly_Spend!$J$1</c:f>
              <c:strCache>
                <c:ptCount val="1"/>
                <c:pt idx="0">
                  <c:v>Dcrease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Yearly_Spend!$H$2:$H$18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Yearly_Spend!$J$2:$J$18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3.63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FD-49F2-BFC8-2D54CF296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2045896"/>
        <c:axId val="512050216"/>
      </c:barChart>
      <c:catAx>
        <c:axId val="512045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050216"/>
        <c:crosses val="autoZero"/>
        <c:auto val="1"/>
        <c:lblAlgn val="ctr"/>
        <c:lblOffset val="100"/>
        <c:noMultiLvlLbl val="0"/>
      </c:catAx>
      <c:valAx>
        <c:axId val="512050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045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889730386755091"/>
          <c:y val="9.19540229885057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Yearly_Spend!$B$1</c:f>
              <c:strCache>
                <c:ptCount val="1"/>
                <c:pt idx="0">
                  <c:v>Yearly_Spending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Yearly_Spend!$A$2:$A$18</c:f>
              <c:numCache>
                <c:formatCode>General</c:formatCode>
                <c:ptCount val="17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</c:numCache>
            </c:numRef>
          </c:cat>
          <c:val>
            <c:numRef>
              <c:f>Yearly_Spend!$B$2:$B$18</c:f>
              <c:numCache>
                <c:formatCode>General</c:formatCode>
                <c:ptCount val="17"/>
                <c:pt idx="0">
                  <c:v>530596132890</c:v>
                </c:pt>
                <c:pt idx="1">
                  <c:v>693256979180</c:v>
                </c:pt>
                <c:pt idx="2">
                  <c:v>896259453440</c:v>
                </c:pt>
                <c:pt idx="3">
                  <c:v>939758709810</c:v>
                </c:pt>
                <c:pt idx="4">
                  <c:v>1153836464616.8</c:v>
                </c:pt>
                <c:pt idx="5">
                  <c:v>1202672567034</c:v>
                </c:pt>
                <c:pt idx="6">
                  <c:v>1228043642325.3999</c:v>
                </c:pt>
                <c:pt idx="7">
                  <c:v>1373727628058</c:v>
                </c:pt>
                <c:pt idx="8">
                  <c:v>1496874030292.8</c:v>
                </c:pt>
                <c:pt idx="9">
                  <c:v>1683565927353</c:v>
                </c:pt>
                <c:pt idx="10">
                  <c:v>1728326495106</c:v>
                </c:pt>
                <c:pt idx="11">
                  <c:v>1767432026895.6001</c:v>
                </c:pt>
                <c:pt idx="12">
                  <c:v>1703325075028</c:v>
                </c:pt>
                <c:pt idx="13">
                  <c:v>1922690838858.6001</c:v>
                </c:pt>
                <c:pt idx="14">
                  <c:v>2216894481939.1001</c:v>
                </c:pt>
                <c:pt idx="15">
                  <c:v>2412722196199</c:v>
                </c:pt>
                <c:pt idx="16">
                  <c:v>2665080894634.2998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58-46D4-A832-979005FAA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0325312"/>
        <c:axId val="640325672"/>
      </c:lineChart>
      <c:catAx>
        <c:axId val="64032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25672"/>
        <c:crosses val="autoZero"/>
        <c:auto val="1"/>
        <c:lblAlgn val="ctr"/>
        <c:lblOffset val="100"/>
        <c:noMultiLvlLbl val="0"/>
      </c:catAx>
      <c:valAx>
        <c:axId val="640325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32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[Armenia_Budget_Analysis.xlsx]Admin_Pivot1!Admin_Pivot1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Spend per Administrative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Admin_Pivot1!$B$3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Admin_Pivot1!$A$4:$A$14</c:f>
              <c:strCache>
                <c:ptCount val="10"/>
                <c:pt idx="0">
                  <c:v>104013 Ministry of Defense of RA</c:v>
                </c:pt>
                <c:pt idx="1">
                  <c:v>400000 Community budgets</c:v>
                </c:pt>
                <c:pt idx="2">
                  <c:v>105002 State Social Insurance Service of the Ministry of Labor and Social Affairs of RA</c:v>
                </c:pt>
                <c:pt idx="3">
                  <c:v>104016 Ministry of Labor and Social Affairs of RA</c:v>
                </c:pt>
                <c:pt idx="4">
                  <c:v>104021 Ministry of Finance of RA</c:v>
                </c:pt>
                <c:pt idx="5">
                  <c:v>104002 Ministry of Healthcare of RA</c:v>
                </c:pt>
                <c:pt idx="6">
                  <c:v>104001 Ministry of Territorial Administration of RA</c:v>
                </c:pt>
                <c:pt idx="7">
                  <c:v>104010 Ministry of Education and Science of RA</c:v>
                </c:pt>
                <c:pt idx="8">
                  <c:v>105019 Police adjunct to the Government of RA</c:v>
                </c:pt>
                <c:pt idx="9">
                  <c:v>104018 Ministry of Transport and Communication of RA</c:v>
                </c:pt>
              </c:strCache>
            </c:strRef>
          </c:cat>
          <c:val>
            <c:numRef>
              <c:f>Admin_Pivot1!$B$4:$B$14</c:f>
              <c:numCache>
                <c:formatCode>General</c:formatCode>
                <c:ptCount val="10"/>
                <c:pt idx="0">
                  <c:v>3683662982340</c:v>
                </c:pt>
                <c:pt idx="1">
                  <c:v>3624799402910.6001</c:v>
                </c:pt>
                <c:pt idx="2">
                  <c:v>2948336274700</c:v>
                </c:pt>
                <c:pt idx="3">
                  <c:v>2769698389700</c:v>
                </c:pt>
                <c:pt idx="4">
                  <c:v>2371329891710</c:v>
                </c:pt>
                <c:pt idx="5">
                  <c:v>1384066394610</c:v>
                </c:pt>
                <c:pt idx="6">
                  <c:v>1159810298670</c:v>
                </c:pt>
                <c:pt idx="7">
                  <c:v>1080279627090</c:v>
                </c:pt>
                <c:pt idx="8">
                  <c:v>859264194180</c:v>
                </c:pt>
                <c:pt idx="9">
                  <c:v>530771504580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3-4657-A8AD-9BDF39EC8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4328808"/>
        <c:axId val="644329888"/>
      </c:barChart>
      <c:catAx>
        <c:axId val="644328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329888"/>
        <c:crosses val="autoZero"/>
        <c:auto val="1"/>
        <c:lblAlgn val="ctr"/>
        <c:lblOffset val="100"/>
        <c:noMultiLvlLbl val="0"/>
      </c:catAx>
      <c:valAx>
        <c:axId val="64432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32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[Armenia_Budget_Analysis.xlsx]Admin_Changes_Pivot!PivotTable2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  Budget changes  by Administrative Department       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Admin_Changes_Pivot!$B$3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Admin_Changes_Pivot!$A$4:$A$183</c:f>
              <c:multiLvlStrCache>
                <c:ptCount val="162"/>
                <c:lvl>
                  <c:pt idx="0">
                    <c:v>104001 Ministry of Territorial Administration of RA</c:v>
                  </c:pt>
                  <c:pt idx="1">
                    <c:v>104002 Ministry of Healthcare of RA</c:v>
                  </c:pt>
                  <c:pt idx="2">
                    <c:v>104010 Ministry of Education and Science of RA</c:v>
                  </c:pt>
                  <c:pt idx="3">
                    <c:v>104013 Ministry of Defense of RA</c:v>
                  </c:pt>
                  <c:pt idx="4">
                    <c:v>104016 Ministry of Labor and Social Affairs of RA</c:v>
                  </c:pt>
                  <c:pt idx="5">
                    <c:v>104018 Ministry of Transport and Communication of RA</c:v>
                  </c:pt>
                  <c:pt idx="6">
                    <c:v>104021 Ministry of Finance of RA</c:v>
                  </c:pt>
                  <c:pt idx="7">
                    <c:v>105019 Police adjunct to the Government of RA</c:v>
                  </c:pt>
                  <c:pt idx="8">
                    <c:v>400000 Community budgets</c:v>
                  </c:pt>
                  <c:pt idx="9">
                    <c:v>104001 Ministry of Territorial Administration of RA</c:v>
                  </c:pt>
                  <c:pt idx="10">
                    <c:v>104002 Ministry of Healthcare of RA</c:v>
                  </c:pt>
                  <c:pt idx="11">
                    <c:v>104010 Ministry of Education and Science of RA</c:v>
                  </c:pt>
                  <c:pt idx="12">
                    <c:v>104013 Ministry of Defense of RA</c:v>
                  </c:pt>
                  <c:pt idx="13">
                    <c:v>104016 Ministry of Labor and Social Affairs of RA</c:v>
                  </c:pt>
                  <c:pt idx="14">
                    <c:v>104018 Ministry of Transport and Communication of RA</c:v>
                  </c:pt>
                  <c:pt idx="15">
                    <c:v>104021 Ministry of Finance of RA</c:v>
                  </c:pt>
                  <c:pt idx="16">
                    <c:v>105002 State Social Insurance Service of the Ministry of Labor and Social Affairs of RA</c:v>
                  </c:pt>
                  <c:pt idx="17">
                    <c:v>105019 Police adjunct to the Government of RA</c:v>
                  </c:pt>
                  <c:pt idx="18">
                    <c:v>104001 Ministry of Territorial Administration of RA</c:v>
                  </c:pt>
                  <c:pt idx="19">
                    <c:v>104002 Ministry of Healthcare of RA</c:v>
                  </c:pt>
                  <c:pt idx="20">
                    <c:v>104010 Ministry of Education and Science of RA</c:v>
                  </c:pt>
                  <c:pt idx="21">
                    <c:v>104013 Ministry of Defense of RA</c:v>
                  </c:pt>
                  <c:pt idx="22">
                    <c:v>104016 Ministry of Labor and Social Affairs of RA</c:v>
                  </c:pt>
                  <c:pt idx="23">
                    <c:v>104018 Ministry of Transport and Communication of RA</c:v>
                  </c:pt>
                  <c:pt idx="24">
                    <c:v>104021 Ministry of Finance of RA</c:v>
                  </c:pt>
                  <c:pt idx="25">
                    <c:v>105019 Police adjunct to the Government of RA</c:v>
                  </c:pt>
                  <c:pt idx="26">
                    <c:v>400000 Community budgets</c:v>
                  </c:pt>
                  <c:pt idx="27">
                    <c:v>104001 Ministry of Territorial Administration of RA</c:v>
                  </c:pt>
                  <c:pt idx="28">
                    <c:v>104002 Ministry of Healthcare of RA</c:v>
                  </c:pt>
                  <c:pt idx="29">
                    <c:v>104010 Ministry of Education and Science of RA</c:v>
                  </c:pt>
                  <c:pt idx="30">
                    <c:v>104013 Ministry of Defense of RA</c:v>
                  </c:pt>
                  <c:pt idx="31">
                    <c:v>104016 Ministry of Labor and Social Affairs of RA</c:v>
                  </c:pt>
                  <c:pt idx="32">
                    <c:v>104018 Ministry of Transport and Communication of RA</c:v>
                  </c:pt>
                  <c:pt idx="33">
                    <c:v>104021 Ministry of Finance of RA</c:v>
                  </c:pt>
                  <c:pt idx="34">
                    <c:v>105002 State Social Insurance Service of the Ministry of Labor and Social Affairs of RA</c:v>
                  </c:pt>
                  <c:pt idx="35">
                    <c:v>105019 Police adjunct to the Government of RA</c:v>
                  </c:pt>
                  <c:pt idx="36">
                    <c:v>400000 Community budgets</c:v>
                  </c:pt>
                  <c:pt idx="37">
                    <c:v>104001 Ministry of Territorial Administration of RA</c:v>
                  </c:pt>
                  <c:pt idx="38">
                    <c:v>104002 Ministry of Healthcare of RA</c:v>
                  </c:pt>
                  <c:pt idx="39">
                    <c:v>104010 Ministry of Education and Science of RA</c:v>
                  </c:pt>
                  <c:pt idx="40">
                    <c:v>104013 Ministry of Defense of RA</c:v>
                  </c:pt>
                  <c:pt idx="41">
                    <c:v>104016 Ministry of Labor and Social Affairs of RA</c:v>
                  </c:pt>
                  <c:pt idx="42">
                    <c:v>104018 Ministry of Transport and Communication of RA</c:v>
                  </c:pt>
                  <c:pt idx="43">
                    <c:v>104021 Ministry of Finance of RA</c:v>
                  </c:pt>
                  <c:pt idx="44">
                    <c:v>105002 State Social Insurance Service of the Ministry of Labor and Social Affairs of RA</c:v>
                  </c:pt>
                  <c:pt idx="45">
                    <c:v>105019 Police adjunct to the Government of RA</c:v>
                  </c:pt>
                  <c:pt idx="46">
                    <c:v>400000 Community budgets</c:v>
                  </c:pt>
                  <c:pt idx="47">
                    <c:v>104001 Ministry of Territorial Administration of RA</c:v>
                  </c:pt>
                  <c:pt idx="48">
                    <c:v>104002 Ministry of Healthcare of RA</c:v>
                  </c:pt>
                  <c:pt idx="49">
                    <c:v>104010 Ministry of Education and Science of RA</c:v>
                  </c:pt>
                  <c:pt idx="50">
                    <c:v>104013 Ministry of Defense of RA</c:v>
                  </c:pt>
                  <c:pt idx="51">
                    <c:v>104016 Ministry of Labor and Social Affairs of RA</c:v>
                  </c:pt>
                  <c:pt idx="52">
                    <c:v>104018 Ministry of Transport and Communication of RA</c:v>
                  </c:pt>
                  <c:pt idx="53">
                    <c:v>104021 Ministry of Finance of RA</c:v>
                  </c:pt>
                  <c:pt idx="54">
                    <c:v>105002 State Social Insurance Service of the Ministry of Labor and Social Affairs of RA</c:v>
                  </c:pt>
                  <c:pt idx="55">
                    <c:v>105019 Police adjunct to the Government of RA</c:v>
                  </c:pt>
                  <c:pt idx="56">
                    <c:v>104001 Ministry of Territorial Administration of RA</c:v>
                  </c:pt>
                  <c:pt idx="57">
                    <c:v>104002 Ministry of Healthcare of RA</c:v>
                  </c:pt>
                  <c:pt idx="58">
                    <c:v>104010 Ministry of Education and Science of RA</c:v>
                  </c:pt>
                  <c:pt idx="59">
                    <c:v>104013 Ministry of Defense of RA</c:v>
                  </c:pt>
                  <c:pt idx="60">
                    <c:v>104016 Ministry of Labor and Social Affairs of RA</c:v>
                  </c:pt>
                  <c:pt idx="61">
                    <c:v>104018 Ministry of Transport and Communication of RA</c:v>
                  </c:pt>
                  <c:pt idx="62">
                    <c:v>104021 Ministry of Finance of RA</c:v>
                  </c:pt>
                  <c:pt idx="63">
                    <c:v>105019 Police adjunct to the Government of RA</c:v>
                  </c:pt>
                  <c:pt idx="64">
                    <c:v>400000 Community budgets</c:v>
                  </c:pt>
                  <c:pt idx="65">
                    <c:v>104001 Ministry of Territorial Administration of RA</c:v>
                  </c:pt>
                  <c:pt idx="66">
                    <c:v>104002 Ministry of Healthcare of RA</c:v>
                  </c:pt>
                  <c:pt idx="67">
                    <c:v>104010 Ministry of Education and Science of RA</c:v>
                  </c:pt>
                  <c:pt idx="68">
                    <c:v>104013 Ministry of Defense of RA</c:v>
                  </c:pt>
                  <c:pt idx="69">
                    <c:v>104016 Ministry of Labor and Social Affairs of RA</c:v>
                  </c:pt>
                  <c:pt idx="70">
                    <c:v>104018 Ministry of Transport and Communication of RA</c:v>
                  </c:pt>
                  <c:pt idx="71">
                    <c:v>104021 Ministry of Finance of RA</c:v>
                  </c:pt>
                  <c:pt idx="72">
                    <c:v>105019 Police adjunct to the Government of RA</c:v>
                  </c:pt>
                  <c:pt idx="73">
                    <c:v>400000 Community budgets</c:v>
                  </c:pt>
                  <c:pt idx="74">
                    <c:v>104001 Ministry of Territorial Administration of RA</c:v>
                  </c:pt>
                  <c:pt idx="75">
                    <c:v>104002 Ministry of Healthcare of RA</c:v>
                  </c:pt>
                  <c:pt idx="76">
                    <c:v>104010 Ministry of Education and Science of RA</c:v>
                  </c:pt>
                  <c:pt idx="77">
                    <c:v>104013 Ministry of Defense of RA</c:v>
                  </c:pt>
                  <c:pt idx="78">
                    <c:v>104016 Ministry of Labor and Social Affairs of RA</c:v>
                  </c:pt>
                  <c:pt idx="79">
                    <c:v>104018 Ministry of Transport and Communication of RA</c:v>
                  </c:pt>
                  <c:pt idx="80">
                    <c:v>104021 Ministry of Finance of RA</c:v>
                  </c:pt>
                  <c:pt idx="81">
                    <c:v>105002 State Social Insurance Service of the Ministry of Labor and Social Affairs of RA</c:v>
                  </c:pt>
                  <c:pt idx="82">
                    <c:v>105019 Police adjunct to the Government of RA</c:v>
                  </c:pt>
                  <c:pt idx="83">
                    <c:v>400000 Community budgets</c:v>
                  </c:pt>
                  <c:pt idx="84">
                    <c:v>104001 Ministry of Territorial Administration of RA</c:v>
                  </c:pt>
                  <c:pt idx="85">
                    <c:v>104002 Ministry of Healthcare of RA</c:v>
                  </c:pt>
                  <c:pt idx="86">
                    <c:v>104010 Ministry of Education and Science of RA</c:v>
                  </c:pt>
                  <c:pt idx="87">
                    <c:v>104013 Ministry of Defense of RA</c:v>
                  </c:pt>
                  <c:pt idx="88">
                    <c:v>104016 Ministry of Labor and Social Affairs of RA</c:v>
                  </c:pt>
                  <c:pt idx="89">
                    <c:v>104018 Ministry of Transport and Communication of RA</c:v>
                  </c:pt>
                  <c:pt idx="90">
                    <c:v>104021 Ministry of Finance of RA</c:v>
                  </c:pt>
                  <c:pt idx="91">
                    <c:v>105002 State Social Insurance Service of the Ministry of Labor and Social Affairs of RA</c:v>
                  </c:pt>
                  <c:pt idx="92">
                    <c:v>105019 Police adjunct to the Government of RA</c:v>
                  </c:pt>
                  <c:pt idx="93">
                    <c:v>400000 Community budgets</c:v>
                  </c:pt>
                  <c:pt idx="94">
                    <c:v>104001 Ministry of Territorial Administration of RA</c:v>
                  </c:pt>
                  <c:pt idx="95">
                    <c:v>104002 Ministry of Healthcare of RA</c:v>
                  </c:pt>
                  <c:pt idx="96">
                    <c:v>104010 Ministry of Education and Science of RA</c:v>
                  </c:pt>
                  <c:pt idx="97">
                    <c:v>104013 Ministry of Defense of RA</c:v>
                  </c:pt>
                  <c:pt idx="98">
                    <c:v>104016 Ministry of Labor and Social Affairs of RA</c:v>
                  </c:pt>
                  <c:pt idx="99">
                    <c:v>104018 Ministry of Transport and Communication of RA</c:v>
                  </c:pt>
                  <c:pt idx="100">
                    <c:v>104021 Ministry of Finance of RA</c:v>
                  </c:pt>
                  <c:pt idx="101">
                    <c:v>105002 State Social Insurance Service of the Ministry of Labor and Social Affairs of RA</c:v>
                  </c:pt>
                  <c:pt idx="102">
                    <c:v>105019 Police adjunct to the Government of RA</c:v>
                  </c:pt>
                  <c:pt idx="103">
                    <c:v>400000 Community budgets</c:v>
                  </c:pt>
                  <c:pt idx="104">
                    <c:v>104001 Ministry of Territorial Administration of RA</c:v>
                  </c:pt>
                  <c:pt idx="105">
                    <c:v>104002 Ministry of Healthcare of RA</c:v>
                  </c:pt>
                  <c:pt idx="106">
                    <c:v>104010 Ministry of Education and Science of RA</c:v>
                  </c:pt>
                  <c:pt idx="107">
                    <c:v>104013 Ministry of Defense of RA</c:v>
                  </c:pt>
                  <c:pt idx="108">
                    <c:v>104016 Ministry of Labor and Social Affairs of RA</c:v>
                  </c:pt>
                  <c:pt idx="109">
                    <c:v>104018 Ministry of Transport and Communication of RA</c:v>
                  </c:pt>
                  <c:pt idx="110">
                    <c:v>104021 Ministry of Finance of RA</c:v>
                  </c:pt>
                  <c:pt idx="111">
                    <c:v>105002 State Social Insurance Service of the Ministry of Labor and Social Affairs of RA</c:v>
                  </c:pt>
                  <c:pt idx="112">
                    <c:v>105019 Police adjunct to the Government of RA</c:v>
                  </c:pt>
                  <c:pt idx="113">
                    <c:v>400000 Community budgets</c:v>
                  </c:pt>
                  <c:pt idx="114">
                    <c:v>104001 Ministry of Territorial Administration of RA</c:v>
                  </c:pt>
                  <c:pt idx="115">
                    <c:v>104002 Ministry of Healthcare of RA</c:v>
                  </c:pt>
                  <c:pt idx="116">
                    <c:v>104010 Ministry of Education and Science of RA</c:v>
                  </c:pt>
                  <c:pt idx="117">
                    <c:v>104013 Ministry of Defense of RA</c:v>
                  </c:pt>
                  <c:pt idx="118">
                    <c:v>104016 Ministry of Labor and Social Affairs of RA</c:v>
                  </c:pt>
                  <c:pt idx="119">
                    <c:v>104018 Ministry of Transport and Communication of RA</c:v>
                  </c:pt>
                  <c:pt idx="120">
                    <c:v>104021 Ministry of Finance of RA</c:v>
                  </c:pt>
                  <c:pt idx="121">
                    <c:v>105002 State Social Insurance Service of the Ministry of Labor and Social Affairs of RA</c:v>
                  </c:pt>
                  <c:pt idx="122">
                    <c:v>105019 Police adjunct to the Government of RA</c:v>
                  </c:pt>
                  <c:pt idx="123">
                    <c:v>400000 Community budgets</c:v>
                  </c:pt>
                  <c:pt idx="124">
                    <c:v>104001 Ministry of Territorial Administration of RA</c:v>
                  </c:pt>
                  <c:pt idx="125">
                    <c:v>104002 Ministry of Healthcare of RA</c:v>
                  </c:pt>
                  <c:pt idx="126">
                    <c:v>104010 Ministry of Education and Science of RA</c:v>
                  </c:pt>
                  <c:pt idx="127">
                    <c:v>104013 Ministry of Defense of RA</c:v>
                  </c:pt>
                  <c:pt idx="128">
                    <c:v>104016 Ministry of Labor and Social Affairs of RA</c:v>
                  </c:pt>
                  <c:pt idx="129">
                    <c:v>104018 Ministry of Transport and Communication of RA</c:v>
                  </c:pt>
                  <c:pt idx="130">
                    <c:v>104021 Ministry of Finance of RA</c:v>
                  </c:pt>
                  <c:pt idx="131">
                    <c:v>105002 State Social Insurance Service of the Ministry of Labor and Social Affairs of RA</c:v>
                  </c:pt>
                  <c:pt idx="132">
                    <c:v>105019 Police adjunct to the Government of RA</c:v>
                  </c:pt>
                  <c:pt idx="133">
                    <c:v>104001 Ministry of Territorial Administration of RA</c:v>
                  </c:pt>
                  <c:pt idx="134">
                    <c:v>104002 Ministry of Healthcare of RA</c:v>
                  </c:pt>
                  <c:pt idx="135">
                    <c:v>104010 Ministry of Education and Science of RA</c:v>
                  </c:pt>
                  <c:pt idx="136">
                    <c:v>104013 Ministry of Defense of RA</c:v>
                  </c:pt>
                  <c:pt idx="137">
                    <c:v>104016 Ministry of Labor and Social Affairs of RA</c:v>
                  </c:pt>
                  <c:pt idx="138">
                    <c:v>104018 Ministry of Transport and Communication of RA</c:v>
                  </c:pt>
                  <c:pt idx="139">
                    <c:v>104021 Ministry of Finance of RA</c:v>
                  </c:pt>
                  <c:pt idx="140">
                    <c:v>105002 State Social Insurance Service of the Ministry of Labor and Social Affairs of RA</c:v>
                  </c:pt>
                  <c:pt idx="141">
                    <c:v>105019 Police adjunct to the Government of RA</c:v>
                  </c:pt>
                  <c:pt idx="142">
                    <c:v>104001 Ministry of Territorial Administration of RA</c:v>
                  </c:pt>
                  <c:pt idx="143">
                    <c:v>104002 Ministry of Healthcare of RA</c:v>
                  </c:pt>
                  <c:pt idx="144">
                    <c:v>104010 Ministry of Education and Science of RA</c:v>
                  </c:pt>
                  <c:pt idx="145">
                    <c:v>104013 Ministry of Defense of RA</c:v>
                  </c:pt>
                  <c:pt idx="146">
                    <c:v>104016 Ministry of Labor and Social Affairs of RA</c:v>
                  </c:pt>
                  <c:pt idx="147">
                    <c:v>104018 Ministry of Transport and Communication of RA</c:v>
                  </c:pt>
                  <c:pt idx="148">
                    <c:v>104021 Ministry of Finance of RA</c:v>
                  </c:pt>
                  <c:pt idx="149">
                    <c:v>105002 State Social Insurance Service of the Ministry of Labor and Social Affairs of RA</c:v>
                  </c:pt>
                  <c:pt idx="150">
                    <c:v>105019 Police adjunct to the Government of RA</c:v>
                  </c:pt>
                  <c:pt idx="151">
                    <c:v>400000 Community budgets</c:v>
                  </c:pt>
                  <c:pt idx="152">
                    <c:v>104001 Ministry of Territorial Administration of RA</c:v>
                  </c:pt>
                  <c:pt idx="153">
                    <c:v>104002 Ministry of Healthcare of RA</c:v>
                  </c:pt>
                  <c:pt idx="154">
                    <c:v>104010 Ministry of Education and Science of RA</c:v>
                  </c:pt>
                  <c:pt idx="155">
                    <c:v>104013 Ministry of Defense of RA</c:v>
                  </c:pt>
                  <c:pt idx="156">
                    <c:v>104016 Ministry of Labor and Social Affairs of RA</c:v>
                  </c:pt>
                  <c:pt idx="157">
                    <c:v>104018 Ministry of Transport and Communication of RA</c:v>
                  </c:pt>
                  <c:pt idx="158">
                    <c:v>104021 Ministry of Finance of RA</c:v>
                  </c:pt>
                  <c:pt idx="159">
                    <c:v>105002 State Social Insurance Service of the Ministry of Labor and Social Affairs of RA</c:v>
                  </c:pt>
                  <c:pt idx="160">
                    <c:v>105019 Police adjunct to the Government of RA</c:v>
                  </c:pt>
                  <c:pt idx="161">
                    <c:v>400000 Community budgets</c:v>
                  </c:pt>
                </c:lvl>
                <c:lvl>
                  <c:pt idx="0">
                    <c:v>2019</c:v>
                  </c:pt>
                  <c:pt idx="9">
                    <c:v>2008</c:v>
                  </c:pt>
                  <c:pt idx="18">
                    <c:v>2020</c:v>
                  </c:pt>
                  <c:pt idx="27">
                    <c:v>2015</c:v>
                  </c:pt>
                  <c:pt idx="37">
                    <c:v>2014</c:v>
                  </c:pt>
                  <c:pt idx="47">
                    <c:v>2007</c:v>
                  </c:pt>
                  <c:pt idx="56">
                    <c:v>2022</c:v>
                  </c:pt>
                  <c:pt idx="65">
                    <c:v>2021</c:v>
                  </c:pt>
                  <c:pt idx="74">
                    <c:v>2010</c:v>
                  </c:pt>
                  <c:pt idx="84">
                    <c:v>2013</c:v>
                  </c:pt>
                  <c:pt idx="94">
                    <c:v>2012</c:v>
                  </c:pt>
                  <c:pt idx="104">
                    <c:v>2011</c:v>
                  </c:pt>
                  <c:pt idx="114">
                    <c:v>2017</c:v>
                  </c:pt>
                  <c:pt idx="124">
                    <c:v>2006</c:v>
                  </c:pt>
                  <c:pt idx="133">
                    <c:v>2009</c:v>
                  </c:pt>
                  <c:pt idx="142">
                    <c:v>2016</c:v>
                  </c:pt>
                  <c:pt idx="152">
                    <c:v>2018</c:v>
                  </c:pt>
                </c:lvl>
              </c:multiLvlStrCache>
            </c:multiLvlStrRef>
          </c:cat>
          <c:val>
            <c:numRef>
              <c:f>Admin_Changes_Pivot!$B$4:$B$183</c:f>
              <c:numCache>
                <c:formatCode>General</c:formatCode>
                <c:ptCount val="162"/>
                <c:pt idx="0">
                  <c:v>5.1259247336148599</c:v>
                </c:pt>
                <c:pt idx="1">
                  <c:v>0.92130193643174296</c:v>
                </c:pt>
                <c:pt idx="2">
                  <c:v>5.0364278714453103</c:v>
                </c:pt>
                <c:pt idx="3">
                  <c:v>3.4610640501883601</c:v>
                </c:pt>
                <c:pt idx="4">
                  <c:v>23.081845623889102</c:v>
                </c:pt>
                <c:pt idx="5">
                  <c:v>-2.2351262049759302</c:v>
                </c:pt>
                <c:pt idx="6">
                  <c:v>-1.9091713752477899</c:v>
                </c:pt>
                <c:pt idx="7">
                  <c:v>8.8867496295677695E-2</c:v>
                </c:pt>
                <c:pt idx="8">
                  <c:v>2.0893528215096602</c:v>
                </c:pt>
                <c:pt idx="9">
                  <c:v>4.0354214241402397E-2</c:v>
                </c:pt>
                <c:pt idx="10">
                  <c:v>0.42872478334837799</c:v>
                </c:pt>
                <c:pt idx="11">
                  <c:v>0.70633705181038897</c:v>
                </c:pt>
                <c:pt idx="12">
                  <c:v>10.465519815717</c:v>
                </c:pt>
                <c:pt idx="13">
                  <c:v>0.74187025246759297</c:v>
                </c:pt>
                <c:pt idx="14">
                  <c:v>0.27011683957228899</c:v>
                </c:pt>
                <c:pt idx="15">
                  <c:v>2.4477185569199298</c:v>
                </c:pt>
                <c:pt idx="16">
                  <c:v>6.4830896407264298</c:v>
                </c:pt>
                <c:pt idx="17">
                  <c:v>0.72846247534024799</c:v>
                </c:pt>
                <c:pt idx="18">
                  <c:v>1.7888937512854299</c:v>
                </c:pt>
                <c:pt idx="19">
                  <c:v>1.99302887394772</c:v>
                </c:pt>
                <c:pt idx="20">
                  <c:v>1.6250174585887001</c:v>
                </c:pt>
                <c:pt idx="21">
                  <c:v>3.61052512206121</c:v>
                </c:pt>
                <c:pt idx="22">
                  <c:v>4.2544288593069304</c:v>
                </c:pt>
                <c:pt idx="23">
                  <c:v>0.141406862867825</c:v>
                </c:pt>
                <c:pt idx="24">
                  <c:v>0.29667193696324401</c:v>
                </c:pt>
                <c:pt idx="25">
                  <c:v>-3.2213794378492103E-2</c:v>
                </c:pt>
                <c:pt idx="26">
                  <c:v>1.27236011097053</c:v>
                </c:pt>
                <c:pt idx="27">
                  <c:v>1.0588719717099699</c:v>
                </c:pt>
                <c:pt idx="28">
                  <c:v>0.54245746730921596</c:v>
                </c:pt>
                <c:pt idx="29">
                  <c:v>0.19979925557704101</c:v>
                </c:pt>
                <c:pt idx="30">
                  <c:v>0.72446408078456204</c:v>
                </c:pt>
                <c:pt idx="31">
                  <c:v>5.7291475452731798E-2</c:v>
                </c:pt>
                <c:pt idx="32">
                  <c:v>0.90402170433144002</c:v>
                </c:pt>
                <c:pt idx="33">
                  <c:v>4.7422908412935403</c:v>
                </c:pt>
                <c:pt idx="34">
                  <c:v>1.9719807891454699</c:v>
                </c:pt>
                <c:pt idx="35">
                  <c:v>0.28461836522991701</c:v>
                </c:pt>
                <c:pt idx="36">
                  <c:v>0.80532813060175301</c:v>
                </c:pt>
                <c:pt idx="37">
                  <c:v>0.121345293808371</c:v>
                </c:pt>
                <c:pt idx="38">
                  <c:v>0.69313715316248004</c:v>
                </c:pt>
                <c:pt idx="39">
                  <c:v>0.30348074908557299</c:v>
                </c:pt>
                <c:pt idx="40">
                  <c:v>0.42762489831879302</c:v>
                </c:pt>
                <c:pt idx="41">
                  <c:v>-0.123503967106596</c:v>
                </c:pt>
                <c:pt idx="42">
                  <c:v>0.81054533277103602</c:v>
                </c:pt>
                <c:pt idx="43">
                  <c:v>3.10601505464729</c:v>
                </c:pt>
                <c:pt idx="44">
                  <c:v>2.7952179651226601</c:v>
                </c:pt>
                <c:pt idx="45">
                  <c:v>0.60286221000405904</c:v>
                </c:pt>
                <c:pt idx="46">
                  <c:v>1.9779308663006501</c:v>
                </c:pt>
                <c:pt idx="47">
                  <c:v>-5.0192145257819898E-2</c:v>
                </c:pt>
                <c:pt idx="48">
                  <c:v>0.97078539446662904</c:v>
                </c:pt>
                <c:pt idx="49">
                  <c:v>0.14552619451351401</c:v>
                </c:pt>
                <c:pt idx="50">
                  <c:v>3.15605259479387</c:v>
                </c:pt>
                <c:pt idx="51">
                  <c:v>0.49784755489693699</c:v>
                </c:pt>
                <c:pt idx="52">
                  <c:v>0.68227621820622197</c:v>
                </c:pt>
                <c:pt idx="53">
                  <c:v>2.12955400426871</c:v>
                </c:pt>
                <c:pt idx="54">
                  <c:v>2.3095832484713799</c:v>
                </c:pt>
                <c:pt idx="55">
                  <c:v>0.64503194836772704</c:v>
                </c:pt>
                <c:pt idx="56">
                  <c:v>2.7823285686858998</c:v>
                </c:pt>
                <c:pt idx="57">
                  <c:v>-0.62036037304858804</c:v>
                </c:pt>
                <c:pt idx="58">
                  <c:v>1.94117228577029</c:v>
                </c:pt>
                <c:pt idx="59">
                  <c:v>1.3927661285903801</c:v>
                </c:pt>
                <c:pt idx="60">
                  <c:v>-1.12263500107022</c:v>
                </c:pt>
                <c:pt idx="61">
                  <c:v>0.51814876005461297</c:v>
                </c:pt>
                <c:pt idx="62">
                  <c:v>1.2533665239675</c:v>
                </c:pt>
                <c:pt idx="63">
                  <c:v>0.42579807888184701</c:v>
                </c:pt>
                <c:pt idx="64">
                  <c:v>0.781580216842097</c:v>
                </c:pt>
                <c:pt idx="65">
                  <c:v>0.98320942698549296</c:v>
                </c:pt>
                <c:pt idx="66">
                  <c:v>0.66857261956691305</c:v>
                </c:pt>
                <c:pt idx="67">
                  <c:v>0.16201177682859899</c:v>
                </c:pt>
                <c:pt idx="68">
                  <c:v>-2.1000582652998001</c:v>
                </c:pt>
                <c:pt idx="69">
                  <c:v>2.96305481097765</c:v>
                </c:pt>
                <c:pt idx="70">
                  <c:v>-7.4566077803497499E-2</c:v>
                </c:pt>
                <c:pt idx="71">
                  <c:v>0.70203789009296103</c:v>
                </c:pt>
                <c:pt idx="72">
                  <c:v>6.7654152747943105E-2</c:v>
                </c:pt>
                <c:pt idx="73">
                  <c:v>3.5724846949097699</c:v>
                </c:pt>
                <c:pt idx="74">
                  <c:v>2.4547188235558601</c:v>
                </c:pt>
                <c:pt idx="75">
                  <c:v>4.9385311304860201E-2</c:v>
                </c:pt>
                <c:pt idx="76">
                  <c:v>9.5059653914150499E-2</c:v>
                </c:pt>
                <c:pt idx="77">
                  <c:v>1.4694380356258601</c:v>
                </c:pt>
                <c:pt idx="78">
                  <c:v>0.20581465162731499</c:v>
                </c:pt>
                <c:pt idx="79">
                  <c:v>-1.37717259830901</c:v>
                </c:pt>
                <c:pt idx="80">
                  <c:v>2.44621654762609</c:v>
                </c:pt>
                <c:pt idx="81">
                  <c:v>0.29540501401400898</c:v>
                </c:pt>
                <c:pt idx="82">
                  <c:v>8.7266292137370104E-3</c:v>
                </c:pt>
                <c:pt idx="83">
                  <c:v>0</c:v>
                </c:pt>
                <c:pt idx="84">
                  <c:v>0.310841790816754</c:v>
                </c:pt>
                <c:pt idx="85">
                  <c:v>-5.5380237280041003E-2</c:v>
                </c:pt>
                <c:pt idx="86">
                  <c:v>0.14106142370736299</c:v>
                </c:pt>
                <c:pt idx="87">
                  <c:v>2.2460608471286601</c:v>
                </c:pt>
                <c:pt idx="88">
                  <c:v>2.9323461345060201E-2</c:v>
                </c:pt>
                <c:pt idx="89">
                  <c:v>-0.21022323137538801</c:v>
                </c:pt>
                <c:pt idx="90">
                  <c:v>0.99300157406633005</c:v>
                </c:pt>
                <c:pt idx="91">
                  <c:v>0.20471268339965801</c:v>
                </c:pt>
                <c:pt idx="92">
                  <c:v>0.73008014217331796</c:v>
                </c:pt>
                <c:pt idx="93">
                  <c:v>0.72900053169617696</c:v>
                </c:pt>
                <c:pt idx="94">
                  <c:v>0.25289852762228399</c:v>
                </c:pt>
                <c:pt idx="95">
                  <c:v>9.06450822783577E-2</c:v>
                </c:pt>
                <c:pt idx="96">
                  <c:v>0.20211720532178901</c:v>
                </c:pt>
                <c:pt idx="97">
                  <c:v>0.694431457163175</c:v>
                </c:pt>
                <c:pt idx="98">
                  <c:v>0.27772832271186298</c:v>
                </c:pt>
                <c:pt idx="99">
                  <c:v>0.60776843124784696</c:v>
                </c:pt>
                <c:pt idx="100">
                  <c:v>0.70204860909295996</c:v>
                </c:pt>
                <c:pt idx="101">
                  <c:v>1.3491507409807399</c:v>
                </c:pt>
                <c:pt idx="102">
                  <c:v>0.37035502267555898</c:v>
                </c:pt>
                <c:pt idx="103">
                  <c:v>0.53881260187711399</c:v>
                </c:pt>
                <c:pt idx="104">
                  <c:v>1.79038506325149E-2</c:v>
                </c:pt>
                <c:pt idx="105">
                  <c:v>0.58484898822849396</c:v>
                </c:pt>
                <c:pt idx="106">
                  <c:v>0.69339882928952201</c:v>
                </c:pt>
                <c:pt idx="107">
                  <c:v>-0.302155425309312</c:v>
                </c:pt>
                <c:pt idx="108">
                  <c:v>-0.248985497140332</c:v>
                </c:pt>
                <c:pt idx="109">
                  <c:v>-0.99859340848010503</c:v>
                </c:pt>
                <c:pt idx="110">
                  <c:v>0.33490811467774401</c:v>
                </c:pt>
                <c:pt idx="111">
                  <c:v>1.1434944328959</c:v>
                </c:pt>
                <c:pt idx="112">
                  <c:v>0.127951691273299</c:v>
                </c:pt>
                <c:pt idx="113">
                  <c:v>1.1381081561506201</c:v>
                </c:pt>
                <c:pt idx="114">
                  <c:v>-0.26477507699233399</c:v>
                </c:pt>
                <c:pt idx="115">
                  <c:v>-0.30399258688534397</c:v>
                </c:pt>
                <c:pt idx="116">
                  <c:v>5.3049132624741299E-2</c:v>
                </c:pt>
                <c:pt idx="117">
                  <c:v>4.02517604566426</c:v>
                </c:pt>
                <c:pt idx="118">
                  <c:v>-2.2828242968340899</c:v>
                </c:pt>
                <c:pt idx="119">
                  <c:v>0.28099303647468399</c:v>
                </c:pt>
                <c:pt idx="120">
                  <c:v>-0.78901906256017695</c:v>
                </c:pt>
                <c:pt idx="121">
                  <c:v>2.2580298666477301</c:v>
                </c:pt>
                <c:pt idx="122">
                  <c:v>-6.6163859328383395E-2</c:v>
                </c:pt>
                <c:pt idx="123">
                  <c:v>-0.55472365676324398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2.6594322286252501E-2</c:v>
                </c:pt>
                <c:pt idx="134">
                  <c:v>0.68579208713085604</c:v>
                </c:pt>
                <c:pt idx="135">
                  <c:v>2.2859516784200199E-3</c:v>
                </c:pt>
                <c:pt idx="136">
                  <c:v>-6.94428522117067</c:v>
                </c:pt>
                <c:pt idx="137">
                  <c:v>0.97685483349827396</c:v>
                </c:pt>
                <c:pt idx="138">
                  <c:v>2.38220543489575</c:v>
                </c:pt>
                <c:pt idx="139">
                  <c:v>-0.55433756086743202</c:v>
                </c:pt>
                <c:pt idx="140">
                  <c:v>2.4585506044068701</c:v>
                </c:pt>
                <c:pt idx="141">
                  <c:v>0.34521268769681401</c:v>
                </c:pt>
                <c:pt idx="142">
                  <c:v>-0.69745676318297101</c:v>
                </c:pt>
                <c:pt idx="143">
                  <c:v>0.15873690982395899</c:v>
                </c:pt>
                <c:pt idx="144">
                  <c:v>-1.76852383427272E-2</c:v>
                </c:pt>
                <c:pt idx="145">
                  <c:v>1.3041393917077899</c:v>
                </c:pt>
                <c:pt idx="146">
                  <c:v>-0.17263155245542899</c:v>
                </c:pt>
                <c:pt idx="147">
                  <c:v>-0.24364438906213401</c:v>
                </c:pt>
                <c:pt idx="148">
                  <c:v>-2.0900487727455999</c:v>
                </c:pt>
                <c:pt idx="149">
                  <c:v>0.57062291227533002</c:v>
                </c:pt>
                <c:pt idx="150">
                  <c:v>-5.7347737409951097E-2</c:v>
                </c:pt>
                <c:pt idx="151">
                  <c:v>-5.93671485049461E-2</c:v>
                </c:pt>
                <c:pt idx="152">
                  <c:v>6.6273875524402906E-2</c:v>
                </c:pt>
                <c:pt idx="153">
                  <c:v>-6.3716710680265104E-2</c:v>
                </c:pt>
                <c:pt idx="154">
                  <c:v>-0.19946172165311099</c:v>
                </c:pt>
                <c:pt idx="155">
                  <c:v>-3.16088094159683</c:v>
                </c:pt>
                <c:pt idx="156">
                  <c:v>-3.85298408167455E-2</c:v>
                </c:pt>
                <c:pt idx="157">
                  <c:v>-0.42586672657776498</c:v>
                </c:pt>
                <c:pt idx="158">
                  <c:v>0.156003896082861</c:v>
                </c:pt>
                <c:pt idx="159">
                  <c:v>-0.38218801480938602</c:v>
                </c:pt>
                <c:pt idx="160">
                  <c:v>1.3989492874464E-2</c:v>
                </c:pt>
                <c:pt idx="161">
                  <c:v>-0.543075184133477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8-4004-AFE6-B0AD9A17A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9497432"/>
        <c:axId val="509495632"/>
      </c:barChart>
      <c:catAx>
        <c:axId val="509497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495632"/>
        <c:crosses val="autoZero"/>
        <c:auto val="1"/>
        <c:lblAlgn val="ctr"/>
        <c:lblOffset val="100"/>
        <c:noMultiLvlLbl val="0"/>
      </c:catAx>
      <c:valAx>
        <c:axId val="50949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497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[Armenia_Budget_Analysis.xlsx]Function_Spend_Pivot!Function_Spend_Pivot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</a:t>
            </a:r>
            <a:r>
              <a:rPr lang="en-US" baseline="0"/>
              <a:t> Increase drivers 2006-2022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Function_Spend_Pivot!$B$3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Function_Spend_Pivot!$A$4:$A$14</c:f>
              <c:strCache>
                <c:ptCount val="10"/>
                <c:pt idx="0">
                  <c:v>100201 Old age</c:v>
                </c:pt>
                <c:pt idx="1">
                  <c:v>020101 Military defense</c:v>
                </c:pt>
                <c:pt idx="2">
                  <c:v>010701 Operation in the line of public debt</c:v>
                </c:pt>
                <c:pt idx="3">
                  <c:v>040501 Road transport</c:v>
                </c:pt>
                <c:pt idx="4">
                  <c:v>Local government spending</c:v>
                </c:pt>
                <c:pt idx="5">
                  <c:v>010801 General transfers executed between different levels of government</c:v>
                </c:pt>
                <c:pt idx="6">
                  <c:v>030101 Police</c:v>
                </c:pt>
                <c:pt idx="7">
                  <c:v>100401 Family members and children</c:v>
                </c:pt>
                <c:pt idx="8">
                  <c:v>010102 Financial and fiscal relations</c:v>
                </c:pt>
                <c:pt idx="9">
                  <c:v>090201 General primary education</c:v>
                </c:pt>
              </c:strCache>
            </c:strRef>
          </c:cat>
          <c:val>
            <c:numRef>
              <c:f>Function_Spend_Pivot!$B$4:$B$14</c:f>
              <c:numCache>
                <c:formatCode>General</c:formatCode>
                <c:ptCount val="10"/>
                <c:pt idx="0">
                  <c:v>24.534889530222962</c:v>
                </c:pt>
                <c:pt idx="1">
                  <c:v>13.727981228163527</c:v>
                </c:pt>
                <c:pt idx="2">
                  <c:v>11.994883512115726</c:v>
                </c:pt>
                <c:pt idx="3">
                  <c:v>7.970168286926131</c:v>
                </c:pt>
                <c:pt idx="4">
                  <c:v>5.9460648283049018</c:v>
                </c:pt>
                <c:pt idx="5">
                  <c:v>4.4786227496223789</c:v>
                </c:pt>
                <c:pt idx="6">
                  <c:v>4.2445468582760402</c:v>
                </c:pt>
                <c:pt idx="7">
                  <c:v>3.9123558761019495</c:v>
                </c:pt>
                <c:pt idx="8">
                  <c:v>2.980502230897744</c:v>
                </c:pt>
                <c:pt idx="9">
                  <c:v>0.30940615752426792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6-4230-A481-08A90A09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8646224"/>
        <c:axId val="688646584"/>
      </c:barChart>
      <c:catAx>
        <c:axId val="688646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646584"/>
        <c:crosses val="autoZero"/>
        <c:auto val="1"/>
        <c:lblAlgn val="ctr"/>
        <c:lblOffset val="100"/>
        <c:noMultiLvlLbl val="0"/>
      </c:catAx>
      <c:valAx>
        <c:axId val="688646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64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[Armenia_Budget_Analysis.xlsx]Ranking_Pivot!PivotTable3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Budget allocation ranking per Administartive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Ranking_Pivot!$B$3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Ranking_Pivot!$A$4:$A$14</c:f>
              <c:strCache>
                <c:ptCount val="10"/>
                <c:pt idx="0">
                  <c:v>104010 Ministry of Education and Science of RA</c:v>
                </c:pt>
                <c:pt idx="1">
                  <c:v>104018 Ministry of Transport and Communication of RA</c:v>
                </c:pt>
                <c:pt idx="2">
                  <c:v>104001 Ministry of Territorial Administration of RA</c:v>
                </c:pt>
                <c:pt idx="3">
                  <c:v>105019 Police adjunct to the Government of RA</c:v>
                </c:pt>
                <c:pt idx="4">
                  <c:v>104016 Ministry of Labor and Social Affairs of RA</c:v>
                </c:pt>
                <c:pt idx="5">
                  <c:v>104002 Ministry of Healthcare of RA</c:v>
                </c:pt>
                <c:pt idx="6">
                  <c:v>104021 Ministry of Finance of RA</c:v>
                </c:pt>
                <c:pt idx="7">
                  <c:v>104013 Ministry of Defense of RA</c:v>
                </c:pt>
                <c:pt idx="8">
                  <c:v>400000 Community budgets</c:v>
                </c:pt>
                <c:pt idx="9">
                  <c:v>105002 State Social Insurance Service of the Ministry of Labor and Social Affairs of RA</c:v>
                </c:pt>
              </c:strCache>
            </c:strRef>
          </c:cat>
          <c:val>
            <c:numRef>
              <c:f>Ranking_Pivot!$B$4:$B$14</c:f>
              <c:numCache>
                <c:formatCode>General</c:formatCode>
                <c:ptCount val="10"/>
                <c:pt idx="0">
                  <c:v>8.117647058823529</c:v>
                </c:pt>
                <c:pt idx="1">
                  <c:v>8</c:v>
                </c:pt>
                <c:pt idx="2">
                  <c:v>7.5294117647058822</c:v>
                </c:pt>
                <c:pt idx="3">
                  <c:v>6.9411764705882355</c:v>
                </c:pt>
                <c:pt idx="4">
                  <c:v>5.3529411764705879</c:v>
                </c:pt>
                <c:pt idx="5">
                  <c:v>5.1764705882352944</c:v>
                </c:pt>
                <c:pt idx="6">
                  <c:v>4.0588235294117645</c:v>
                </c:pt>
                <c:pt idx="7">
                  <c:v>2.5882352941176472</c:v>
                </c:pt>
                <c:pt idx="8">
                  <c:v>2</c:v>
                </c:pt>
                <c:pt idx="9">
                  <c:v>1.3076923076923077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C-420D-8350-9B23803E0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8648384"/>
        <c:axId val="688649464"/>
      </c:barChart>
      <c:catAx>
        <c:axId val="688648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649464"/>
        <c:crosses val="autoZero"/>
        <c:auto val="1"/>
        <c:lblAlgn val="ctr"/>
        <c:lblOffset val="100"/>
        <c:noMultiLvlLbl val="0"/>
      </c:catAx>
      <c:valAx>
        <c:axId val="688649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64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295275</xdr:colOff>
      <xdr:row>11</xdr:row>
      <xdr:rowOff>38100</xdr:rowOff>
    </xdr:from>
    <xdr:to>
      <xdr:col>18</xdr:col>
      <xdr:colOff>304800</xdr:colOff>
      <xdr:row>21</xdr:row>
      <xdr:rowOff>28576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B0277F-1470-F0FA-94A9-F2676ED91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285750</xdr:colOff>
      <xdr:row>1</xdr:row>
      <xdr:rowOff>28575</xdr:rowOff>
    </xdr:from>
    <xdr:to>
      <xdr:col>18</xdr:col>
      <xdr:colOff>247650</xdr:colOff>
      <xdr:row>10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6625E-7474-17A3-DFD7-747D2D2EF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323849</xdr:colOff>
      <xdr:row>0</xdr:row>
      <xdr:rowOff>152400</xdr:rowOff>
    </xdr:from>
    <xdr:to>
      <xdr:col>11</xdr:col>
      <xdr:colOff>9524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940B34-EFF6-B381-4224-16603BD1D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228599</xdr:colOff>
      <xdr:row>2</xdr:row>
      <xdr:rowOff>171450</xdr:rowOff>
    </xdr:from>
    <xdr:to>
      <xdr:col>9</xdr:col>
      <xdr:colOff>142876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42FC31-56F2-F2E6-2663-3285DE14F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695325</xdr:colOff>
      <xdr:row>14</xdr:row>
      <xdr:rowOff>52387</xdr:rowOff>
    </xdr:from>
    <xdr:to>
      <xdr:col>9</xdr:col>
      <xdr:colOff>9525</xdr:colOff>
      <xdr:row>28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C0C9E2-21DB-8C3F-9857-9310C2810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1</xdr:row>
      <xdr:rowOff>80962</xdr:rowOff>
    </xdr:from>
    <xdr:to>
      <xdr:col>11</xdr:col>
      <xdr:colOff>19050</xdr:colOff>
      <xdr:row>15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E9CF29-1DB8-638E-480A-BD8CE656C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zo Nkunzi" refreshedDate="46094.575925347221" createdVersion="8" refreshedVersion="8" minRefreshableVersion="3" recordCount="162" xr:uid="{2D3D2984-9E7F-4C3C-905B-80D79E563B7A}">
  <cacheSource type="worksheet">
    <worksheetSource name="Admin_Table"/>
  </cacheSource>
  <cacheFields count="6">
    <cacheField name="year" numFmtId="0">
      <sharedItems containsSemiMixedTypes="0" containsString="0" containsNumber="1" containsInteger="1" minValue="2006" maxValue="2022"/>
    </cacheField>
    <cacheField name="Yearly_Rank" numFmtId="0">
      <sharedItems containsSemiMixedTypes="0" containsString="0" containsNumber="1" containsInteger="1" minValue="1" maxValue="10"/>
    </cacheField>
    <cacheField name="admin" numFmtId="0">
      <sharedItems count="10">
        <s v="104001 Ministry of Territorial Administration of RA"/>
        <s v="104002 Ministry of Healthcare of RA"/>
        <s v="104010 Ministry of Education and Science of RA"/>
        <s v="104013 Ministry of Defense of RA"/>
        <s v="104016 Ministry of Labor and Social Affairs of RA"/>
        <s v="104018 Ministry of Transport and Communication of RA"/>
        <s v="104021 Ministry of Finance of RA"/>
        <s v="105002 State Social Insurance Service of the Ministry of Labor and Social Affairs of RA"/>
        <s v="105019 Police adjunct to the Government of RA"/>
        <s v="400000 Community budgets"/>
      </sharedItems>
    </cacheField>
    <cacheField name="Yearly_Spending" numFmtId="0">
      <sharedItems containsSemiMixedTypes="0" containsString="0" containsNumber="1" minValue="938007950" maxValue="619774103370"/>
    </cacheField>
    <cacheField name="Spending_Increase" numFmtId="0">
      <sharedItems containsSemiMixedTypes="0" containsString="0" containsNumber="1" minValue="-65259525200" maxValue="443792531250"/>
    </cacheField>
    <cacheField name="Growth_Rel_to_National_Total" numFmtId="0">
      <sharedItems containsSemiMixedTypes="0" containsString="0" containsNumber="1" minValue="-6.94428522117067" maxValue="23.0818456238891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zo Nkunzi" refreshedDate="46094.585890509261" createdVersion="8" refreshedVersion="8" minRefreshableVersion="3" recordCount="163" xr:uid="{3FB3A117-A9C8-4BA4-8FEE-71488B1A9611}">
  <cacheSource type="worksheet">
    <worksheetSource ref="A1:F1048576" sheet="Admin_Table"/>
  </cacheSource>
  <cacheFields count="6">
    <cacheField name="year" numFmtId="0">
      <sharedItems containsString="0" containsBlank="1" containsNumber="1" containsInteger="1" minValue="2006" maxValue="2022" count="18"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m/>
      </sharedItems>
    </cacheField>
    <cacheField name="Yearly_Rank" numFmtId="0">
      <sharedItems containsString="0" containsBlank="1" containsNumber="1" containsInteger="1" minValue="1" maxValue="10"/>
    </cacheField>
    <cacheField name="admin" numFmtId="0">
      <sharedItems containsBlank="1" count="11">
        <s v="104001 Ministry of Territorial Administration of RA"/>
        <s v="104002 Ministry of Healthcare of RA"/>
        <s v="104010 Ministry of Education and Science of RA"/>
        <s v="104013 Ministry of Defense of RA"/>
        <s v="104016 Ministry of Labor and Social Affairs of RA"/>
        <s v="104018 Ministry of Transport and Communication of RA"/>
        <s v="104021 Ministry of Finance of RA"/>
        <s v="105002 State Social Insurance Service of the Ministry of Labor and Social Affairs of RA"/>
        <s v="105019 Police adjunct to the Government of RA"/>
        <s v="400000 Community budgets"/>
        <m/>
      </sharedItems>
    </cacheField>
    <cacheField name="Yearly_Spending" numFmtId="0">
      <sharedItems containsString="0" containsBlank="1" containsNumber="1" minValue="938007950" maxValue="619774103370"/>
    </cacheField>
    <cacheField name="Spending_Increase" numFmtId="0">
      <sharedItems containsString="0" containsBlank="1" containsNumber="1" minValue="-65259525200" maxValue="443792531250"/>
    </cacheField>
    <cacheField name="Growth_Rel_to_National_Total" numFmtId="0">
      <sharedItems containsString="0" containsBlank="1" containsNumber="1" minValue="-6.94428522117067" maxValue="23.0818456238891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zo Nkunzi" refreshedDate="46094.807477199072" createdVersion="8" refreshedVersion="8" minRefreshableVersion="3" recordCount="163" xr:uid="{C450B91A-AA16-434E-AA7A-8B9532B5DB76}">
  <cacheSource type="worksheet">
    <worksheetSource name="Function_Table"/>
  </cacheSource>
  <cacheFields count="6">
    <cacheField name="year" numFmtId="0">
      <sharedItems containsSemiMixedTypes="0" containsString="0" containsNumber="1" containsInteger="1" minValue="2006" maxValue="2022" count="17"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Yearly_Rank" numFmtId="0">
      <sharedItems containsSemiMixedTypes="0" containsString="0" containsNumber="1" containsInteger="1" minValue="1" maxValue="10"/>
    </cacheField>
    <cacheField name="func3" numFmtId="0">
      <sharedItems count="10">
        <s v="010102 Financial and fiscal relations"/>
        <s v="010701 Operation in the line of public debt"/>
        <s v="010801 General transfers executed between different levels of government"/>
        <s v="020101 Military defense"/>
        <s v="030101 Police"/>
        <s v="040501 Road transport"/>
        <s v="090201 General primary education"/>
        <s v="100201 Old age"/>
        <s v="100401 Family members and children"/>
        <s v="Local government spending"/>
      </sharedItems>
    </cacheField>
    <cacheField name="Yearly_Spending" numFmtId="0">
      <sharedItems containsSemiMixedTypes="0" containsString="0" containsNumber="1" minValue="9024646500" maxValue="423837664000"/>
    </cacheField>
    <cacheField name="Spending_Increase" numFmtId="0">
      <sharedItems containsSemiMixedTypes="0" containsString="0" containsNumber="1" minValue="-57480633860" maxValue="82914201643.600006"/>
    </cacheField>
    <cacheField name="Growth_Rel_to_National_Total" numFmtId="0">
      <sharedItems containsSemiMixedTypes="0" containsString="0" containsNumber="1" minValue="-3.3746132610098001" maxValue="6.41149958524223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zo Nkunzi" refreshedDate="46096.714593634257" createdVersion="8" refreshedVersion="8" minRefreshableVersion="3" recordCount="1013" xr:uid="{41A72981-63AC-4F7E-AE40-77CE01AD3779}">
  <cacheSource type="worksheet">
    <worksheetSource name="Admin_Function_Table"/>
  </cacheSource>
  <cacheFields count="3">
    <cacheField name="admin" numFmtId="0">
      <sharedItems count="83">
        <e v="#N/A"/>
        <s v="101001 Staff of President of RA"/>
        <s v="101002 National Assembly of RA"/>
        <s v="101003 RA Government Staff"/>
        <s v="102001 Constitutional Court of RA"/>
        <s v="102002 Judicial Department of RA"/>
        <s v="102024 Judicial School"/>
        <s v="102030 Supreme Judicial Council"/>
        <s v="103001 Office of Public Prosecutor of RA"/>
        <s v="103002 Special Investigatory Service of RA"/>
        <s v="104001 Ministry of Territorial Administration of RA"/>
        <s v="104002 Ministry of Healthcare of RA"/>
        <s v="104003 Ministry of Justice of RA"/>
        <s v="104004 Ministry of Economy of RA"/>
        <s v="104005 Ministry of Foreign Affairs of RA"/>
        <s v="104006 Ministry of Nature Protection of RA"/>
        <s v="104007 Ministry of Agriculture of RA"/>
        <s v="104009 Ministry of Energy and Natural Resources of RA"/>
        <s v="104010 Ministry of Education and Science of RA"/>
        <s v="104011 Ministry of Culture of RA"/>
        <s v="104013 Ministry of Defense of RA"/>
        <s v="104016 Ministry of Labor and Social Affairs of RA"/>
        <s v="104018 Ministry of Transport and Communication of RA"/>
        <s v="104020 Ministry of Urban Development of RA"/>
        <s v="104021 Ministry of Finance of RA"/>
        <s v="104022 Ministry of Sport and Youth Affairs of RA"/>
        <s v="104023 Ministry of Emergency Situations of RA"/>
        <s v="104024 Ministry of Diaspora of RA"/>
        <s v="104025 Ministry of Finance of RA (medical insurance section)"/>
        <s v="104026 Ministry of International Economic Integration and Reforms of the Republic of Armenia"/>
        <s v="104026 The Ministry of International Economic Integration and Reform"/>
        <s v="105002 State Social Insurance Service of the Ministry of Labor and Social Affairs of RA"/>
        <s v="105003 National Statistics Service of RA"/>
        <s v="105004 RA Public Services Regulatory Committee"/>
        <s v="105005 RA Central Election Commission"/>
        <s v="105006 Securities Commission of RA"/>
        <s v="105007 Civil Service Council of RA"/>
        <s v="105008 State Commission for the Protection of Economic Competition of RA"/>
        <s v="105009 State Committee of the Real Estate Cadastre adjunct to the Government of RA"/>
        <s v="105010 State Committee for Water Management of the Ministry of Territorial Administration of RA"/>
        <s v="105012 National Commission for TV and Radio"/>
        <s v="105013 State Revenue Committee adjunct to the Government of RA"/>
        <s v="105014 Armenian Rescue Service of the Ministry of Emergency Situations of RA"/>
        <s v="105015 State Committee of Science of the Ministry of Education and Science of RA"/>
        <s v="105016 General Department of Civil Aviation adjunct to the Government of RA"/>
        <s v="105017 Public Protocol Service Agency of the Ministry of Foreign Affairs of RA"/>
        <s v="105018 National Security Service adjunct to the Government of RA"/>
        <s v="105019 Police adjunct to the Government of RA"/>
        <s v="105020 State Committee of the Real Estate Cadastre adjunct to the Government of RA"/>
        <s v="105021 State Migration Service of the Ministry of Territorial Administration of RA"/>
        <s v="105033 Council of Public TV and Radio Company of Armenia"/>
        <s v="105034 Control Chamber of RA"/>
        <s v="105035 Staff of Human Rights Defender"/>
        <s v="105037 RA State Nuclear Safety Regulatory Committee by the Government"/>
        <s v="105040 RA National Security Council"/>
        <s v="105041 RA National Security Council State Protection Service"/>
        <s v="105042 Ministry of Agriculture of RA Food Safety Service"/>
        <s v="105043 The State Committee of Architecture to the Government of RA"/>
        <s v="105044 The Investigation Committee"/>
        <s v="105045 State Committee on Urban Development under the RA Government"/>
        <s v="105046 State Tourism Committee of the Ministry of Economic Development and Investments of the Republic of Armenia"/>
        <s v="105047 Penitentiary Department of the Ministry of Justice of the Republic of Armenia"/>
        <s v="105048 Enforcement Service of Judicial Acts of the Ministry of Justice of the Republic of Armenia"/>
        <s v="105049 Ethics Committee for Senior Officials"/>
        <s v="105050 State Forestry Committee of the Ministry of Nature Protection of RA"/>
        <s v="105051 RA State Supervisory Service"/>
        <s v="106001 Yerevan Municipality"/>
        <s v="106002 Aragatsotn Marzpetaran"/>
        <s v="106003 Ararat Marzpetaran"/>
        <s v="106004 Armavir Marzpetaran"/>
        <s v="106005 Gegharkunik Marzpetaran"/>
        <s v="106006 Lori Marzpetaran"/>
        <s v="106007 Kotayk Marzpetaran"/>
        <s v="106008 Shirak Marzpetaran"/>
        <s v="106009 Syunik Marzpetaran"/>
        <s v="106010 Vayots dzor Marzpetaran"/>
        <s v="106011 Tavush Marzpetaran"/>
        <s v="301002 Government of RA"/>
        <s v="301007 Other bodies"/>
        <s v="301020 Other bodies"/>
        <s v="301021 Other bodies"/>
        <s v="301022 Other bodies"/>
        <s v="400000 Community budgets"/>
      </sharedItems>
    </cacheField>
    <cacheField name="func3" numFmtId="0">
      <sharedItems count="121">
        <s v="030701 Public order and security (not belonging to other classes)"/>
        <s v="090502 Additional education"/>
        <s v="010101 Legislative and executive bodies, public administration"/>
        <s v="110101 Reserve fund of the Government of RA"/>
        <s v="080303 Information obtaining"/>
        <s v="080402 Political parties, non-governmental organizations, trade unions"/>
        <s v="090402 Post-university vocational education"/>
        <s v="070401 Public healthcare services"/>
        <s v="010103 Foreign affairs"/>
        <s v="100902 Auxiliary services provided to social protection (not belonging to other classes)"/>
        <s v="040901 Economic relations (not belonging to other classes)"/>
        <s v="040204 Irrigation"/>
        <s v="040201 Agriculture"/>
        <s v="010601 General public services (not belonging to other classes)"/>
        <s v="090601 Auxiliary services provided to education"/>
        <s v="010303 Other general services"/>
        <s v="030302 Legal protection"/>
        <s v="040304 Other fuel types"/>
        <s v="040101 General economic and trade relations"/>
        <s v="040704 Multi-purpose development programs"/>
        <s v="040501 Road transport"/>
        <s v="080301 TV and radio programs"/>
        <s v="010401 General research work"/>
        <s v="080205 Art"/>
        <s v="010302 General programming and statistical services"/>
        <s v="080101 Recreation and sport services"/>
        <s v="080401 Youth programs"/>
        <s v="080302 Publishing houses, editorial offices"/>
        <s v="070601 Adjacent healthcare services and programs"/>
        <s v="010102 Financial and fiscal relations"/>
        <s v="040504 Air transport"/>
        <s v="060301 Water-supply"/>
        <s v="080204 Other cultural organizations"/>
        <s v="100301 Persons who lost relatives"/>
        <s v="030301 Courts"/>
        <s v="030401 Prosecutor's office"/>
        <s v="040801 Research and development in the line of general economic, trade and labor issues"/>
        <s v="010801 General transfers executed between different levels of government"/>
        <s v="090201 General primary education"/>
        <s v="040505 Pipelines and other transport"/>
        <s v="090102 General elementary education"/>
        <s v="060401 Street lighting"/>
        <s v="030201 Rescue service"/>
        <s v="090202 General secondary (complete) education"/>
        <s v="100601 Habitation securing"/>
        <s v="050101 Waste removal"/>
        <s v="050401 Biodiversity and nature protection"/>
        <s v="060101 House-building"/>
        <s v="080202 Museums and galleries"/>
        <s v="040305 Electricity"/>
        <s v="040503 Railway"/>
        <s v="090501 Extracurricular education"/>
        <s v="100901 Social security (not belonging to other classes)"/>
        <s v="090301 Elementary vocational education"/>
        <s v="100701 Special social privileges (not belonging to other classes)"/>
        <s v="020501 Defense (not belonging to other classes)"/>
        <s v="040401 Export of mineral resources, except natural fuel"/>
        <s v="060601 House-building and public utilities (not belonging to other classes)"/>
        <s v="090401 Higher vocational education"/>
        <s v="050601 Environmental protection (not belonging to other classes)"/>
        <s v="090101 Pre-school education"/>
        <s v="010301 General services in the line of staff /personnel/"/>
        <s v="070101 Pharmaceutical goods"/>
        <s v="070301 General hospital services"/>
        <s v="070201 General medical services"/>
        <s v="070303 Medical, mother and child centers' services"/>
        <s v="070302 Specialized hospital services"/>
        <s v="070204 Paramedical services"/>
        <s v="070202 Specialized medical services"/>
        <s v="070602 Healthcare (not belonging to other classes)"/>
        <s v="070203 Dental services"/>
        <s v="070103 Medical devices and equipment"/>
        <s v="090302 Secondary vocational education"/>
        <s v="080201 Libraries"/>
        <s v="070501 Research and development in the line of healthcare"/>
        <s v="030501 Places of detention"/>
        <s v="040703 Tourism"/>
        <s v="040804 Research and development in the line of metal mining industry, industry and construction"/>
        <s v="020301 External military assistance"/>
        <s v="020101 Military defense"/>
        <s v="020201 Civil defense"/>
        <s v="080207 Monuments and cultural values restoration and preservation"/>
        <s v="040202 Forestry"/>
        <s v="050301 Air pollution control"/>
        <s v="040802 Research and development in the line of agriculture, forestry, fishery and hunting"/>
        <s v="040302 Mineral oils and natural gas"/>
        <s v="040306 Non-electric energy"/>
        <s v="050501 Research and development in the line of environmental protection"/>
        <s v="090401 Higher education"/>
        <s v="090801 Education (not belonging to other classes)"/>
        <s v="010501 Research and development in the line of general public services"/>
        <s v="080206 Cinematography"/>
        <s v="080203 Culture houses, clubs, centers"/>
        <s v="080601 Recreation, culture and religion (not belonging to other classes)"/>
        <s v="020401 Research and development in defense"/>
        <s v="100401 Family members and children"/>
        <s v="100201 Old age"/>
        <s v="100501 Unemployment"/>
        <s v="100102 Disability"/>
        <s v="100101 Ill health"/>
        <s v="040102 General relations related with labor"/>
        <s v="030101 Police"/>
        <s v="040601 Communication"/>
        <s v="040403 Construction"/>
        <s v="010701 Operation in the line of public debt"/>
        <s v="030102 National Security"/>
        <s v="030103 State protection"/>
        <s v="040303 Nuclear fuel"/>
        <s v="060201 Community development"/>
        <s v="060501 Research and development in the line of house-building and public utilities"/>
        <s v="Local government spending"/>
        <s v="110102 Reserve fund of communities of RA"/>
        <s v="050201 Sewage removal"/>
        <s v="080501 Research and development in the line of recreation, culture and religion"/>
        <s v="080403 Other religious and public services"/>
        <s v="040805 Research and development in the line of transport"/>
        <s v="040704 Development multipurpose programs"/>
        <s v="090701 Research and development in education"/>
        <s v="040203 Fishery and hunting"/>
        <s v="040807 Research and development in the line of other spheres"/>
        <s v="040803 Research and development in the line of fuel and energy"/>
      </sharedItems>
    </cacheField>
    <cacheField name="Spending" numFmtId="0">
      <sharedItems containsSemiMixedTypes="0" containsString="0" containsNumber="1" minValue="50000" maxValue="3223770800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n v="2006"/>
    <n v="9"/>
    <x v="0"/>
    <n v="1285968500"/>
    <n v="0"/>
    <n v="0"/>
  </r>
  <r>
    <n v="2007"/>
    <n v="9"/>
    <x v="0"/>
    <n v="938007950"/>
    <n v="-347960550"/>
    <n v="-5.0192145257819898E-2"/>
  </r>
  <r>
    <n v="2008"/>
    <n v="9"/>
    <x v="0"/>
    <n v="1299686410"/>
    <n v="361678460"/>
    <n v="4.0354214241402397E-2"/>
  </r>
  <r>
    <n v="2009"/>
    <n v="9"/>
    <x v="0"/>
    <n v="1549608870"/>
    <n v="249922460"/>
    <n v="2.6594322286252501E-2"/>
  </r>
  <r>
    <n v="2010"/>
    <n v="9"/>
    <x v="0"/>
    <n v="29873049760"/>
    <n v="28323440890"/>
    <n v="2.4547188235558601"/>
  </r>
  <r>
    <n v="2011"/>
    <n v="8"/>
    <x v="0"/>
    <n v="30088374460"/>
    <n v="215324700"/>
    <n v="1.79038506325149E-2"/>
  </r>
  <r>
    <n v="2012"/>
    <n v="8"/>
    <x v="0"/>
    <n v="33194078750"/>
    <n v="3105704290"/>
    <n v="0.25289852762228399"/>
  </r>
  <r>
    <n v="2013"/>
    <n v="8"/>
    <x v="0"/>
    <n v="37464198310"/>
    <n v="4270119560"/>
    <n v="0.310841790816754"/>
  </r>
  <r>
    <n v="2014"/>
    <n v="9"/>
    <x v="0"/>
    <n v="39280584500"/>
    <n v="1816386190"/>
    <n v="0.121345293808371"/>
  </r>
  <r>
    <n v="2015"/>
    <n v="7"/>
    <x v="0"/>
    <n v="57107392230"/>
    <n v="17826807730"/>
    <n v="1.0588719717099699"/>
  </r>
  <r>
    <n v="2016"/>
    <n v="9"/>
    <x v="0"/>
    <n v="45053062200"/>
    <n v="-12054330030"/>
    <n v="-0.69745676318297101"/>
  </r>
  <r>
    <n v="2017"/>
    <n v="9"/>
    <x v="0"/>
    <n v="40373342690"/>
    <n v="-4679719510"/>
    <n v="-0.26477507699233399"/>
  </r>
  <r>
    <n v="2018"/>
    <n v="8"/>
    <x v="0"/>
    <n v="41502202230"/>
    <n v="1128859540"/>
    <n v="6.6273875524402906E-2"/>
  </r>
  <r>
    <n v="2019"/>
    <n v="5"/>
    <x v="0"/>
    <n v="140057887490"/>
    <n v="98555685260"/>
    <n v="5.1259247336148599"/>
  </r>
  <r>
    <n v="2020"/>
    <n v="4"/>
    <x v="0"/>
    <n v="179715774350"/>
    <n v="39657886860"/>
    <n v="1.7888937512854299"/>
  </r>
  <r>
    <n v="2021"/>
    <n v="4"/>
    <x v="0"/>
    <n v="203437886430"/>
    <n v="23722112080"/>
    <n v="0.98320942698549296"/>
  </r>
  <r>
    <n v="2022"/>
    <n v="4"/>
    <x v="0"/>
    <n v="277589193540"/>
    <n v="74151307110"/>
    <n v="2.7823285686858998"/>
  </r>
  <r>
    <n v="2006"/>
    <n v="3"/>
    <x v="1"/>
    <n v="39115108700"/>
    <n v="0"/>
    <n v="0"/>
  </r>
  <r>
    <n v="2007"/>
    <n v="4"/>
    <x v="1"/>
    <n v="45845146200"/>
    <n v="6730037500"/>
    <n v="0.97078539446662904"/>
  </r>
  <r>
    <n v="2008"/>
    <n v="4"/>
    <x v="1"/>
    <n v="49687632600"/>
    <n v="3842486400"/>
    <n v="0.42872478334837799"/>
  </r>
  <r>
    <n v="2009"/>
    <n v="4"/>
    <x v="1"/>
    <n v="56132423470"/>
    <n v="6444790870"/>
    <n v="0.68579208713085604"/>
  </r>
  <r>
    <n v="2010"/>
    <n v="5"/>
    <x v="1"/>
    <n v="56702249200"/>
    <n v="569825730"/>
    <n v="4.9385311304860201E-2"/>
  </r>
  <r>
    <n v="2011"/>
    <n v="5"/>
    <x v="1"/>
    <n v="63736067540"/>
    <n v="7033818340"/>
    <n v="0.58484898822849396"/>
  </r>
  <r>
    <n v="2012"/>
    <n v="5"/>
    <x v="1"/>
    <n v="64849228710"/>
    <n v="1113161170"/>
    <n v="9.06450822783577E-2"/>
  </r>
  <r>
    <n v="2013"/>
    <n v="5"/>
    <x v="1"/>
    <n v="64088455090"/>
    <n v="-760773620"/>
    <n v="-5.5380237280041003E-2"/>
  </r>
  <r>
    <n v="2014"/>
    <n v="5"/>
    <x v="1"/>
    <n v="74463845130"/>
    <n v="10375390040"/>
    <n v="0.69313715316248004"/>
  </r>
  <r>
    <n v="2015"/>
    <n v="5"/>
    <x v="1"/>
    <n v="83596474220"/>
    <n v="9132629090"/>
    <n v="0.54245746730921596"/>
  </r>
  <r>
    <n v="2016"/>
    <n v="5"/>
    <x v="1"/>
    <n v="86339966290"/>
    <n v="2743492070"/>
    <n v="0.15873690982395899"/>
  </r>
  <r>
    <n v="2017"/>
    <n v="5"/>
    <x v="1"/>
    <n v="80967103950"/>
    <n v="-5372862340"/>
    <n v="-0.30399258688534397"/>
  </r>
  <r>
    <n v="2018"/>
    <n v="5"/>
    <x v="1"/>
    <n v="79881801240"/>
    <n v="-1085302710"/>
    <n v="-6.3716710680265104E-2"/>
  </r>
  <r>
    <n v="2019"/>
    <n v="7"/>
    <x v="1"/>
    <n v="97595589170"/>
    <n v="17713787930"/>
    <n v="0.92130193643174296"/>
  </r>
  <r>
    <n v="2020"/>
    <n v="7"/>
    <x v="1"/>
    <n v="141778936300"/>
    <n v="44183347130"/>
    <n v="1.99302887394772"/>
  </r>
  <r>
    <n v="2021"/>
    <n v="7"/>
    <x v="1"/>
    <n v="157909736290"/>
    <n v="16130799990"/>
    <n v="0.66857261956691305"/>
  </r>
  <r>
    <n v="2022"/>
    <n v="7"/>
    <x v="1"/>
    <n v="141376630510"/>
    <n v="-16533105780"/>
    <n v="-0.62036037304858804"/>
  </r>
  <r>
    <n v="2006"/>
    <n v="8"/>
    <x v="2"/>
    <n v="11682757500"/>
    <n v="0"/>
    <n v="0"/>
  </r>
  <r>
    <n v="2007"/>
    <n v="8"/>
    <x v="2"/>
    <n v="12691628000"/>
    <n v="1008870500"/>
    <n v="0.14552619451351401"/>
  </r>
  <r>
    <n v="2008"/>
    <n v="8"/>
    <x v="2"/>
    <n v="19022240600"/>
    <n v="6330612600"/>
    <n v="0.70633705181038897"/>
  </r>
  <r>
    <n v="2009"/>
    <n v="8"/>
    <x v="2"/>
    <n v="19043723030"/>
    <n v="21482430"/>
    <n v="2.2859516784200199E-3"/>
  </r>
  <r>
    <n v="2010"/>
    <n v="10"/>
    <x v="2"/>
    <n v="20140555980"/>
    <n v="1096832950"/>
    <n v="9.5059653914150499E-2"/>
  </r>
  <r>
    <n v="2011"/>
    <n v="9"/>
    <x v="2"/>
    <n v="28479873480"/>
    <n v="8339317500"/>
    <n v="0.69339882928952201"/>
  </r>
  <r>
    <n v="2012"/>
    <n v="9"/>
    <x v="2"/>
    <n v="30961960970"/>
    <n v="2482087490"/>
    <n v="0.20211720532178901"/>
  </r>
  <r>
    <n v="2013"/>
    <n v="9"/>
    <x v="2"/>
    <n v="32899760720"/>
    <n v="1937799750"/>
    <n v="0.14106142370736299"/>
  </r>
  <r>
    <n v="2014"/>
    <n v="10"/>
    <x v="2"/>
    <n v="37442485240"/>
    <n v="4542724520"/>
    <n v="0.30348074908557299"/>
  </r>
  <r>
    <n v="2015"/>
    <n v="10"/>
    <x v="2"/>
    <n v="40806237430"/>
    <n v="3363752190"/>
    <n v="0.19979925557704101"/>
  </r>
  <r>
    <n v="2016"/>
    <n v="10"/>
    <x v="2"/>
    <n v="40500578770"/>
    <n v="-305658660"/>
    <n v="-1.76852383427272E-2"/>
  </r>
  <r>
    <n v="2017"/>
    <n v="8"/>
    <x v="2"/>
    <n v="41438186130"/>
    <n v="937607360"/>
    <n v="5.3049132624741299E-2"/>
  </r>
  <r>
    <n v="2018"/>
    <n v="9"/>
    <x v="2"/>
    <n v="38040704610"/>
    <n v="-3397481520"/>
    <n v="-0.19946172165311099"/>
  </r>
  <r>
    <n v="2019"/>
    <n v="6"/>
    <x v="2"/>
    <n v="134875641900"/>
    <n v="96834937290"/>
    <n v="5.0364278714453103"/>
  </r>
  <r>
    <n v="2020"/>
    <n v="5"/>
    <x v="2"/>
    <n v="170900564270"/>
    <n v="36024922370"/>
    <n v="1.6250174585887001"/>
  </r>
  <r>
    <n v="2021"/>
    <n v="6"/>
    <x v="2"/>
    <n v="174809458370"/>
    <n v="3908894100"/>
    <n v="0.16201177682859899"/>
  </r>
  <r>
    <n v="2022"/>
    <n v="5"/>
    <x v="2"/>
    <n v="226543270090"/>
    <n v="51733811720"/>
    <n v="1.94117228577029"/>
  </r>
  <r>
    <n v="2006"/>
    <n v="2"/>
    <x v="3"/>
    <n v="79316802720"/>
    <n v="0"/>
    <n v="0"/>
  </r>
  <r>
    <n v="2007"/>
    <n v="2"/>
    <x v="3"/>
    <n v="101196357600"/>
    <n v="21879554880"/>
    <n v="3.15605259479387"/>
  </r>
  <r>
    <n v="2008"/>
    <n v="1"/>
    <x v="3"/>
    <n v="194994568300"/>
    <n v="93798210700"/>
    <n v="10.465519815717"/>
  </r>
  <r>
    <n v="2009"/>
    <n v="2"/>
    <x v="3"/>
    <n v="129735043100"/>
    <n v="-65259525200"/>
    <n v="-6.94428522117067"/>
  </r>
  <r>
    <n v="2010"/>
    <n v="3"/>
    <x v="3"/>
    <n v="146689954980"/>
    <n v="16954911880"/>
    <n v="1.4694380356258601"/>
  </r>
  <r>
    <n v="2011"/>
    <n v="3"/>
    <x v="3"/>
    <n v="143056014570"/>
    <n v="-3633940410"/>
    <n v="-0.302155425309312"/>
  </r>
  <r>
    <n v="2012"/>
    <n v="3"/>
    <x v="3"/>
    <n v="151583935930"/>
    <n v="8527921360"/>
    <n v="0.694431457163175"/>
  </r>
  <r>
    <n v="2013"/>
    <n v="3"/>
    <x v="3"/>
    <n v="182438694330"/>
    <n v="30854758400"/>
    <n v="2.2460608471286601"/>
  </r>
  <r>
    <n v="2014"/>
    <n v="3"/>
    <x v="3"/>
    <n v="188839700380"/>
    <n v="6401006050"/>
    <n v="0.42762489831879302"/>
  </r>
  <r>
    <n v="2015"/>
    <n v="4"/>
    <x v="3"/>
    <n v="201036530800"/>
    <n v="12196830420"/>
    <n v="0.72446408078456204"/>
  </r>
  <r>
    <n v="2016"/>
    <n v="3"/>
    <x v="3"/>
    <n v="223576317440"/>
    <n v="22539786640"/>
    <n v="1.3041393917077899"/>
  </r>
  <r>
    <n v="2017"/>
    <n v="2"/>
    <x v="3"/>
    <n v="294718568010"/>
    <n v="71142250570"/>
    <n v="4.02517604566426"/>
  </r>
  <r>
    <n v="2018"/>
    <n v="3"/>
    <x v="3"/>
    <n v="240878490340"/>
    <n v="-53840077670"/>
    <n v="-3.16088094159683"/>
  </r>
  <r>
    <n v="2019"/>
    <n v="2"/>
    <x v="3"/>
    <n v="307424051760"/>
    <n v="66545561420"/>
    <n v="3.4610640501883601"/>
  </r>
  <r>
    <n v="2020"/>
    <n v="2"/>
    <x v="3"/>
    <n v="387465583960"/>
    <n v="80041532200"/>
    <n v="3.61052512206121"/>
  </r>
  <r>
    <n v="2021"/>
    <n v="3"/>
    <x v="3"/>
    <n v="336797012060"/>
    <n v="-50668571900"/>
    <n v="-2.1000582652998001"/>
  </r>
  <r>
    <n v="2022"/>
    <n v="3"/>
    <x v="3"/>
    <n v="373915356060"/>
    <n v="37118344000"/>
    <n v="1.3927661285903801"/>
  </r>
  <r>
    <n v="2006"/>
    <n v="5"/>
    <x v="4"/>
    <n v="32572287180"/>
    <n v="0"/>
    <n v="0"/>
  </r>
  <r>
    <n v="2007"/>
    <n v="5"/>
    <x v="4"/>
    <n v="36023650100"/>
    <n v="3451362920"/>
    <n v="0.49784755489693699"/>
  </r>
  <r>
    <n v="2008"/>
    <n v="5"/>
    <x v="4"/>
    <n v="42672732370"/>
    <n v="6649082270"/>
    <n v="0.74187025246759297"/>
  </r>
  <r>
    <n v="2009"/>
    <n v="5"/>
    <x v="4"/>
    <n v="51852810750"/>
    <n v="9180078380"/>
    <n v="0.97685483349827396"/>
  </r>
  <r>
    <n v="2010"/>
    <n v="6"/>
    <x v="4"/>
    <n v="54227575250"/>
    <n v="2374764500"/>
    <n v="0.20581465162731499"/>
  </r>
  <r>
    <n v="2011"/>
    <n v="6"/>
    <x v="4"/>
    <n v="51233094980"/>
    <n v="-2994480270"/>
    <n v="-0.248985497140332"/>
  </r>
  <r>
    <n v="2012"/>
    <n v="6"/>
    <x v="4"/>
    <n v="54643719990"/>
    <n v="3410625010"/>
    <n v="0.27772832271186298"/>
  </r>
  <r>
    <n v="2013"/>
    <n v="6"/>
    <x v="4"/>
    <n v="55046544480"/>
    <n v="402824490"/>
    <n v="2.9323461345060201E-2"/>
  </r>
  <r>
    <n v="2014"/>
    <n v="7"/>
    <x v="4"/>
    <n v="53197845670"/>
    <n v="-1848698810"/>
    <n v="-0.123503967106596"/>
  </r>
  <r>
    <n v="2015"/>
    <n v="9"/>
    <x v="4"/>
    <n v="54162385430"/>
    <n v="964539760"/>
    <n v="5.7291475452731798E-2"/>
  </r>
  <r>
    <n v="2016"/>
    <n v="7"/>
    <x v="4"/>
    <n v="51178748570"/>
    <n v="-2983636860"/>
    <n v="-0.17263155245542899"/>
  </r>
  <r>
    <n v="2017"/>
    <n v="10"/>
    <x v="4"/>
    <n v="10831380830"/>
    <n v="-40347367740"/>
    <n v="-2.2828242968340899"/>
  </r>
  <r>
    <n v="2018"/>
    <n v="10"/>
    <x v="4"/>
    <n v="10175092390"/>
    <n v="-656288440"/>
    <n v="-3.85298408167455E-2"/>
  </r>
  <r>
    <n v="2019"/>
    <n v="1"/>
    <x v="4"/>
    <n v="453967623640"/>
    <n v="443792531250"/>
    <n v="23.081845623889102"/>
  </r>
  <r>
    <n v="2020"/>
    <n v="1"/>
    <x v="4"/>
    <n v="548283822260"/>
    <n v="94316198620"/>
    <n v="4.2544288593069304"/>
  </r>
  <r>
    <n v="2021"/>
    <n v="1"/>
    <x v="4"/>
    <n v="619774103370"/>
    <n v="71490281110"/>
    <n v="2.96305481097765"/>
  </r>
  <r>
    <n v="2022"/>
    <n v="1"/>
    <x v="4"/>
    <n v="589854972440"/>
    <n v="-29919130930"/>
    <n v="-1.12263500107022"/>
  </r>
  <r>
    <n v="2006"/>
    <n v="6"/>
    <x v="5"/>
    <n v="21182831200"/>
    <n v="0"/>
    <n v="0"/>
  </r>
  <r>
    <n v="2007"/>
    <n v="6"/>
    <x v="5"/>
    <n v="25912758700"/>
    <n v="4729927500"/>
    <n v="0.68227621820622197"/>
  </r>
  <r>
    <n v="2008"/>
    <n v="7"/>
    <x v="5"/>
    <n v="28333706410"/>
    <n v="2420947710"/>
    <n v="0.27011683957228899"/>
  </r>
  <r>
    <n v="2009"/>
    <n v="6"/>
    <x v="5"/>
    <n v="50720689470"/>
    <n v="22386983060"/>
    <n v="2.38220543489575"/>
  </r>
  <r>
    <n v="2010"/>
    <n v="7"/>
    <x v="5"/>
    <n v="34830369850"/>
    <n v="-15890319620"/>
    <n v="-1.37717259830901"/>
  </r>
  <r>
    <n v="2011"/>
    <n v="10"/>
    <x v="5"/>
    <n v="22820560870"/>
    <n v="-12009808980"/>
    <n v="-0.99859340848010503"/>
  </r>
  <r>
    <n v="2012"/>
    <n v="10"/>
    <x v="5"/>
    <n v="30284222450"/>
    <n v="7463661580"/>
    <n v="0.60776843124784696"/>
  </r>
  <r>
    <n v="2013"/>
    <n v="10"/>
    <x v="5"/>
    <n v="27396327840"/>
    <n v="-2887894610"/>
    <n v="-0.21022323137538801"/>
  </r>
  <r>
    <n v="2014"/>
    <n v="8"/>
    <x v="5"/>
    <n v="39529170430"/>
    <n v="12132842590"/>
    <n v="0.81054533277103602"/>
  </r>
  <r>
    <n v="2015"/>
    <n v="8"/>
    <x v="5"/>
    <n v="54748971820"/>
    <n v="15219801390"/>
    <n v="0.90402170433144002"/>
  </r>
  <r>
    <n v="2016"/>
    <n v="8"/>
    <x v="5"/>
    <n v="50538001290"/>
    <n v="-4210970530"/>
    <n v="-0.24364438906213401"/>
  </r>
  <r>
    <n v="2017"/>
    <n v="7"/>
    <x v="5"/>
    <n v="55504362210"/>
    <n v="4966360920"/>
    <n v="0.28099303647468399"/>
  </r>
  <r>
    <n v="2018"/>
    <n v="7"/>
    <x v="5"/>
    <n v="48250467470"/>
    <n v="-7253894740"/>
    <n v="-0.42586672657776498"/>
  </r>
  <r>
    <n v="2019"/>
    <n v="9"/>
    <x v="5"/>
    <n v="5275900690"/>
    <n v="-42974566780"/>
    <n v="-2.2351262049759302"/>
  </r>
  <r>
    <n v="2020"/>
    <n v="9"/>
    <x v="5"/>
    <n v="8410741630"/>
    <n v="3134840940"/>
    <n v="0.141406862867825"/>
  </r>
  <r>
    <n v="2021"/>
    <n v="9"/>
    <x v="5"/>
    <n v="6611669320"/>
    <n v="-1799072310"/>
    <n v="-7.4566077803497499E-2"/>
  </r>
  <r>
    <n v="2022"/>
    <n v="9"/>
    <x v="5"/>
    <n v="20420752930"/>
    <n v="13809083610"/>
    <n v="0.51814876005461297"/>
  </r>
  <r>
    <n v="2006"/>
    <n v="4"/>
    <x v="6"/>
    <n v="32845904750"/>
    <n v="0"/>
    <n v="0"/>
  </r>
  <r>
    <n v="2007"/>
    <n v="3"/>
    <x v="6"/>
    <n v="47609186510"/>
    <n v="14763281760"/>
    <n v="2.12955400426871"/>
  </r>
  <r>
    <n v="2008"/>
    <n v="3"/>
    <x v="6"/>
    <n v="69547095470"/>
    <n v="21937908960"/>
    <n v="2.4477185569199298"/>
  </r>
  <r>
    <n v="2009"/>
    <n v="3"/>
    <x v="6"/>
    <n v="64337659960"/>
    <n v="-5209435510"/>
    <n v="-0.55433756086743202"/>
  </r>
  <r>
    <n v="2010"/>
    <n v="4"/>
    <x v="6"/>
    <n v="92562998490"/>
    <n v="28225338530"/>
    <n v="2.44621654762609"/>
  </r>
  <r>
    <n v="2011"/>
    <n v="4"/>
    <x v="6"/>
    <n v="96590846510"/>
    <n v="4027848020"/>
    <n v="0.33490811467774401"/>
  </r>
  <r>
    <n v="2012"/>
    <n v="4"/>
    <x v="6"/>
    <n v="105212309820"/>
    <n v="8621463310"/>
    <n v="0.70204860909295996"/>
  </r>
  <r>
    <n v="2013"/>
    <n v="4"/>
    <x v="6"/>
    <n v="118853446790"/>
    <n v="13641136970"/>
    <n v="0.99300157406633005"/>
  </r>
  <r>
    <n v="2014"/>
    <n v="4"/>
    <x v="6"/>
    <n v="165346579520"/>
    <n v="46493132730"/>
    <n v="3.10601505464729"/>
  </r>
  <r>
    <n v="2015"/>
    <n v="3"/>
    <x v="6"/>
    <n v="245186172300"/>
    <n v="79839592780"/>
    <n v="4.7422908412935403"/>
  </r>
  <r>
    <n v="2016"/>
    <n v="4"/>
    <x v="6"/>
    <n v="209063305600"/>
    <n v="-36122866700"/>
    <n v="-2.0900487727455999"/>
  </r>
  <r>
    <n v="2017"/>
    <n v="4"/>
    <x v="6"/>
    <n v="195117929990"/>
    <n v="-13945375610"/>
    <n v="-0.78901906256017695"/>
  </r>
  <r>
    <n v="2018"/>
    <n v="4"/>
    <x v="6"/>
    <n v="197775183470"/>
    <n v="2657253480"/>
    <n v="0.156003896082861"/>
  </r>
  <r>
    <n v="2019"/>
    <n v="4"/>
    <x v="6"/>
    <n v="161067720340"/>
    <n v="-36707463130"/>
    <n v="-1.9091713752477899"/>
  </r>
  <r>
    <n v="2020"/>
    <n v="6"/>
    <x v="6"/>
    <n v="167644624140"/>
    <n v="6576903800"/>
    <n v="0.29667193696324401"/>
  </r>
  <r>
    <n v="2021"/>
    <n v="5"/>
    <x v="6"/>
    <n v="184582848140"/>
    <n v="16938224000"/>
    <n v="0.70203789009296103"/>
  </r>
  <r>
    <n v="2022"/>
    <n v="6"/>
    <x v="6"/>
    <n v="217986079910"/>
    <n v="33403231770"/>
    <n v="1.2533665239675"/>
  </r>
  <r>
    <n v="2006"/>
    <n v="1"/>
    <x v="7"/>
    <n v="89811751570"/>
    <n v="0"/>
    <n v="0"/>
  </r>
  <r>
    <n v="2007"/>
    <n v="1"/>
    <x v="7"/>
    <n v="105823098630"/>
    <n v="16011347060"/>
    <n v="2.3095832484713799"/>
  </r>
  <r>
    <n v="2008"/>
    <n v="2"/>
    <x v="7"/>
    <n v="163928402410"/>
    <n v="58105303780"/>
    <n v="6.4830896407264298"/>
  </r>
  <r>
    <n v="2009"/>
    <n v="1"/>
    <x v="7"/>
    <n v="187032845850"/>
    <n v="23104443440"/>
    <n v="2.4585506044068701"/>
  </r>
  <r>
    <n v="2010"/>
    <n v="2"/>
    <x v="7"/>
    <n v="190441336620"/>
    <n v="3408490770"/>
    <n v="0.29540501401400898"/>
  </r>
  <r>
    <n v="2011"/>
    <n v="2"/>
    <x v="7"/>
    <n v="204193830470"/>
    <n v="13752493850"/>
    <n v="1.1434944328959"/>
  </r>
  <r>
    <n v="2012"/>
    <n v="1"/>
    <x v="7"/>
    <n v="220761990370"/>
    <n v="16568159900"/>
    <n v="1.3491507409807399"/>
  </r>
  <r>
    <n v="2013"/>
    <n v="2"/>
    <x v="7"/>
    <n v="223574185060"/>
    <n v="2812194690"/>
    <n v="0.20471268339965801"/>
  </r>
  <r>
    <n v="2014"/>
    <n v="1"/>
    <x v="7"/>
    <n v="265415076870"/>
    <n v="41840891810"/>
    <n v="2.7952179651226601"/>
  </r>
  <r>
    <n v="2015"/>
    <n v="1"/>
    <x v="7"/>
    <n v="298614673530"/>
    <n v="33199596660"/>
    <n v="1.9719807891454699"/>
  </r>
  <r>
    <n v="2016"/>
    <n v="1"/>
    <x v="7"/>
    <n v="308476900510"/>
    <n v="9862226980"/>
    <n v="0.57062291227533002"/>
  </r>
  <r>
    <n v="2017"/>
    <n v="1"/>
    <x v="7"/>
    <n v="348386043550"/>
    <n v="39909143040"/>
    <n v="2.2580298666477301"/>
  </r>
  <r>
    <n v="2018"/>
    <n v="1"/>
    <x v="7"/>
    <n v="341876139260"/>
    <n v="-6509904290"/>
    <n v="-0.38218801480938602"/>
  </r>
  <r>
    <n v="2006"/>
    <n v="7"/>
    <x v="8"/>
    <n v="20480865800"/>
    <n v="0"/>
    <n v="0"/>
  </r>
  <r>
    <n v="2007"/>
    <n v="7"/>
    <x v="8"/>
    <n v="24952594800"/>
    <n v="4471729000"/>
    <n v="0.64503194836772704"/>
  </r>
  <r>
    <n v="2008"/>
    <n v="6"/>
    <x v="8"/>
    <n v="31481508600"/>
    <n v="6528913800"/>
    <n v="0.72846247534024799"/>
  </r>
  <r>
    <n v="2009"/>
    <n v="7"/>
    <x v="8"/>
    <n v="34725674900"/>
    <n v="3244166300"/>
    <n v="0.34521268769681401"/>
  </r>
  <r>
    <n v="2010"/>
    <n v="8"/>
    <x v="8"/>
    <n v="34826365930"/>
    <n v="100691030"/>
    <n v="8.7266292137370104E-3"/>
  </r>
  <r>
    <n v="2011"/>
    <n v="7"/>
    <x v="8"/>
    <n v="36365205820"/>
    <n v="1538839890"/>
    <n v="0.127951691273299"/>
  </r>
  <r>
    <n v="2012"/>
    <n v="7"/>
    <x v="8"/>
    <n v="40913327130"/>
    <n v="4548121310"/>
    <n v="0.37035502267555898"/>
  </r>
  <r>
    <n v="2013"/>
    <n v="7"/>
    <x v="8"/>
    <n v="50942639750"/>
    <n v="10029312620"/>
    <n v="0.73008014217331796"/>
  </r>
  <r>
    <n v="2014"/>
    <n v="6"/>
    <x v="8"/>
    <n v="59966727610"/>
    <n v="9024087860"/>
    <n v="0.60286221000405904"/>
  </r>
  <r>
    <n v="2015"/>
    <n v="6"/>
    <x v="8"/>
    <n v="64758465430"/>
    <n v="4791737820"/>
    <n v="0.28461836522991701"/>
  </r>
  <r>
    <n v="2016"/>
    <n v="6"/>
    <x v="8"/>
    <n v="63767309290"/>
    <n v="-991156140"/>
    <n v="-5.7347737409951097E-2"/>
  </r>
  <r>
    <n v="2017"/>
    <n v="6"/>
    <x v="8"/>
    <n v="62597908050"/>
    <n v="-1169401240"/>
    <n v="-6.6163859328383395E-2"/>
  </r>
  <r>
    <n v="2018"/>
    <n v="6"/>
    <x v="8"/>
    <n v="62836194590"/>
    <n v="238286540"/>
    <n v="1.3989492874464E-2"/>
  </r>
  <r>
    <n v="2019"/>
    <n v="8"/>
    <x v="8"/>
    <n v="64544841800"/>
    <n v="1708647210"/>
    <n v="8.8867496295677695E-2"/>
  </r>
  <r>
    <n v="2020"/>
    <n v="8"/>
    <x v="8"/>
    <n v="63830695970"/>
    <n v="-714145830"/>
    <n v="-3.2213794378492103E-2"/>
  </r>
  <r>
    <n v="2021"/>
    <n v="8"/>
    <x v="8"/>
    <n v="65463002730"/>
    <n v="1632306760"/>
    <n v="6.7654152747943105E-2"/>
  </r>
  <r>
    <n v="2022"/>
    <n v="8"/>
    <x v="8"/>
    <n v="76810865980"/>
    <n v="11347863250"/>
    <n v="0.42579807888184701"/>
  </r>
  <r>
    <n v="2010"/>
    <n v="1"/>
    <x v="9"/>
    <n v="198955462476.79999"/>
    <n v="0"/>
    <n v="0"/>
  </r>
  <r>
    <n v="2011"/>
    <n v="1"/>
    <x v="9"/>
    <n v="212643177054"/>
    <n v="13687714577.200001"/>
    <n v="1.1381081561506201"/>
  </r>
  <r>
    <n v="2012"/>
    <n v="2"/>
    <x v="9"/>
    <n v="219260030955.39999"/>
    <n v="6616853901.3999596"/>
    <n v="0.53881260187711399"/>
  </r>
  <r>
    <n v="2013"/>
    <n v="1"/>
    <x v="9"/>
    <n v="229274512668"/>
    <n v="10014481712.6001"/>
    <n v="0.72900053169617696"/>
  </r>
  <r>
    <n v="2014"/>
    <n v="2"/>
    <x v="9"/>
    <n v="258881646142.79999"/>
    <n v="29607133474.7999"/>
    <n v="1.9779308663006501"/>
  </r>
  <r>
    <n v="2015"/>
    <n v="2"/>
    <x v="9"/>
    <n v="272439876153"/>
    <n v="13558230010.200001"/>
    <n v="0.80532813060175301"/>
  </r>
  <r>
    <n v="2016"/>
    <n v="2"/>
    <x v="9"/>
    <n v="271413817996"/>
    <n v="-1026058156.99991"/>
    <n v="-5.93671485049461E-2"/>
  </r>
  <r>
    <n v="2017"/>
    <n v="3"/>
    <x v="9"/>
    <n v="261609454425.60001"/>
    <n v="-9804363570.3999901"/>
    <n v="-0.55472365676324398"/>
  </r>
  <r>
    <n v="2018"/>
    <n v="2"/>
    <x v="9"/>
    <n v="252359118638"/>
    <n v="-9250335787.6000099"/>
    <n v="-0.543075184133477"/>
  </r>
  <r>
    <n v="2019"/>
    <n v="3"/>
    <x v="9"/>
    <n v="292530913928.59998"/>
    <n v="40171795290.599899"/>
    <n v="2.0893528215096602"/>
  </r>
  <r>
    <n v="2020"/>
    <n v="3"/>
    <x v="9"/>
    <n v="320737795019.09998"/>
    <n v="28206881090.499901"/>
    <n v="1.27236011097053"/>
  </r>
  <r>
    <n v="2021"/>
    <n v="2"/>
    <x v="9"/>
    <n v="406931926209"/>
    <n v="86194131189.900101"/>
    <n v="3.5724846949097699"/>
  </r>
  <r>
    <n v="2022"/>
    <n v="2"/>
    <x v="9"/>
    <n v="427761671244.29999"/>
    <n v="20829745035.299999"/>
    <n v="0.7815802168420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x v="0"/>
    <n v="9"/>
    <x v="0"/>
    <n v="1285968500"/>
    <n v="0"/>
    <n v="0"/>
  </r>
  <r>
    <x v="1"/>
    <n v="9"/>
    <x v="0"/>
    <n v="938007950"/>
    <n v="-347960550"/>
    <n v="-5.0192145257819898E-2"/>
  </r>
  <r>
    <x v="2"/>
    <n v="9"/>
    <x v="0"/>
    <n v="1299686410"/>
    <n v="361678460"/>
    <n v="4.0354214241402397E-2"/>
  </r>
  <r>
    <x v="3"/>
    <n v="9"/>
    <x v="0"/>
    <n v="1549608870"/>
    <n v="249922460"/>
    <n v="2.6594322286252501E-2"/>
  </r>
  <r>
    <x v="4"/>
    <n v="9"/>
    <x v="0"/>
    <n v="29873049760"/>
    <n v="28323440890"/>
    <n v="2.4547188235558601"/>
  </r>
  <r>
    <x v="5"/>
    <n v="8"/>
    <x v="0"/>
    <n v="30088374460"/>
    <n v="215324700"/>
    <n v="1.79038506325149E-2"/>
  </r>
  <r>
    <x v="6"/>
    <n v="8"/>
    <x v="0"/>
    <n v="33194078750"/>
    <n v="3105704290"/>
    <n v="0.25289852762228399"/>
  </r>
  <r>
    <x v="7"/>
    <n v="8"/>
    <x v="0"/>
    <n v="37464198310"/>
    <n v="4270119560"/>
    <n v="0.310841790816754"/>
  </r>
  <r>
    <x v="8"/>
    <n v="9"/>
    <x v="0"/>
    <n v="39280584500"/>
    <n v="1816386190"/>
    <n v="0.121345293808371"/>
  </r>
  <r>
    <x v="9"/>
    <n v="7"/>
    <x v="0"/>
    <n v="57107392230"/>
    <n v="17826807730"/>
    <n v="1.0588719717099699"/>
  </r>
  <r>
    <x v="10"/>
    <n v="9"/>
    <x v="0"/>
    <n v="45053062200"/>
    <n v="-12054330030"/>
    <n v="-0.69745676318297101"/>
  </r>
  <r>
    <x v="11"/>
    <n v="9"/>
    <x v="0"/>
    <n v="40373342690"/>
    <n v="-4679719510"/>
    <n v="-0.26477507699233399"/>
  </r>
  <r>
    <x v="12"/>
    <n v="8"/>
    <x v="0"/>
    <n v="41502202230"/>
    <n v="1128859540"/>
    <n v="6.6273875524402906E-2"/>
  </r>
  <r>
    <x v="13"/>
    <n v="5"/>
    <x v="0"/>
    <n v="140057887490"/>
    <n v="98555685260"/>
    <n v="5.1259247336148599"/>
  </r>
  <r>
    <x v="14"/>
    <n v="4"/>
    <x v="0"/>
    <n v="179715774350"/>
    <n v="39657886860"/>
    <n v="1.7888937512854299"/>
  </r>
  <r>
    <x v="15"/>
    <n v="4"/>
    <x v="0"/>
    <n v="203437886430"/>
    <n v="23722112080"/>
    <n v="0.98320942698549296"/>
  </r>
  <r>
    <x v="16"/>
    <n v="4"/>
    <x v="0"/>
    <n v="277589193540"/>
    <n v="74151307110"/>
    <n v="2.7823285686858998"/>
  </r>
  <r>
    <x v="0"/>
    <n v="3"/>
    <x v="1"/>
    <n v="39115108700"/>
    <n v="0"/>
    <n v="0"/>
  </r>
  <r>
    <x v="1"/>
    <n v="4"/>
    <x v="1"/>
    <n v="45845146200"/>
    <n v="6730037500"/>
    <n v="0.97078539446662904"/>
  </r>
  <r>
    <x v="2"/>
    <n v="4"/>
    <x v="1"/>
    <n v="49687632600"/>
    <n v="3842486400"/>
    <n v="0.42872478334837799"/>
  </r>
  <r>
    <x v="3"/>
    <n v="4"/>
    <x v="1"/>
    <n v="56132423470"/>
    <n v="6444790870"/>
    <n v="0.68579208713085604"/>
  </r>
  <r>
    <x v="4"/>
    <n v="5"/>
    <x v="1"/>
    <n v="56702249200"/>
    <n v="569825730"/>
    <n v="4.9385311304860201E-2"/>
  </r>
  <r>
    <x v="5"/>
    <n v="5"/>
    <x v="1"/>
    <n v="63736067540"/>
    <n v="7033818340"/>
    <n v="0.58484898822849396"/>
  </r>
  <r>
    <x v="6"/>
    <n v="5"/>
    <x v="1"/>
    <n v="64849228710"/>
    <n v="1113161170"/>
    <n v="9.06450822783577E-2"/>
  </r>
  <r>
    <x v="7"/>
    <n v="5"/>
    <x v="1"/>
    <n v="64088455090"/>
    <n v="-760773620"/>
    <n v="-5.5380237280041003E-2"/>
  </r>
  <r>
    <x v="8"/>
    <n v="5"/>
    <x v="1"/>
    <n v="74463845130"/>
    <n v="10375390040"/>
    <n v="0.69313715316248004"/>
  </r>
  <r>
    <x v="9"/>
    <n v="5"/>
    <x v="1"/>
    <n v="83596474220"/>
    <n v="9132629090"/>
    <n v="0.54245746730921596"/>
  </r>
  <r>
    <x v="10"/>
    <n v="5"/>
    <x v="1"/>
    <n v="86339966290"/>
    <n v="2743492070"/>
    <n v="0.15873690982395899"/>
  </r>
  <r>
    <x v="11"/>
    <n v="5"/>
    <x v="1"/>
    <n v="80967103950"/>
    <n v="-5372862340"/>
    <n v="-0.30399258688534397"/>
  </r>
  <r>
    <x v="12"/>
    <n v="5"/>
    <x v="1"/>
    <n v="79881801240"/>
    <n v="-1085302710"/>
    <n v="-6.3716710680265104E-2"/>
  </r>
  <r>
    <x v="13"/>
    <n v="7"/>
    <x v="1"/>
    <n v="97595589170"/>
    <n v="17713787930"/>
    <n v="0.92130193643174296"/>
  </r>
  <r>
    <x v="14"/>
    <n v="7"/>
    <x v="1"/>
    <n v="141778936300"/>
    <n v="44183347130"/>
    <n v="1.99302887394772"/>
  </r>
  <r>
    <x v="15"/>
    <n v="7"/>
    <x v="1"/>
    <n v="157909736290"/>
    <n v="16130799990"/>
    <n v="0.66857261956691305"/>
  </r>
  <r>
    <x v="16"/>
    <n v="7"/>
    <x v="1"/>
    <n v="141376630510"/>
    <n v="-16533105780"/>
    <n v="-0.62036037304858804"/>
  </r>
  <r>
    <x v="0"/>
    <n v="8"/>
    <x v="2"/>
    <n v="11682757500"/>
    <n v="0"/>
    <n v="0"/>
  </r>
  <r>
    <x v="1"/>
    <n v="8"/>
    <x v="2"/>
    <n v="12691628000"/>
    <n v="1008870500"/>
    <n v="0.14552619451351401"/>
  </r>
  <r>
    <x v="2"/>
    <n v="8"/>
    <x v="2"/>
    <n v="19022240600"/>
    <n v="6330612600"/>
    <n v="0.70633705181038897"/>
  </r>
  <r>
    <x v="3"/>
    <n v="8"/>
    <x v="2"/>
    <n v="19043723030"/>
    <n v="21482430"/>
    <n v="2.2859516784200199E-3"/>
  </r>
  <r>
    <x v="4"/>
    <n v="10"/>
    <x v="2"/>
    <n v="20140555980"/>
    <n v="1096832950"/>
    <n v="9.5059653914150499E-2"/>
  </r>
  <r>
    <x v="5"/>
    <n v="9"/>
    <x v="2"/>
    <n v="28479873480"/>
    <n v="8339317500"/>
    <n v="0.69339882928952201"/>
  </r>
  <r>
    <x v="6"/>
    <n v="9"/>
    <x v="2"/>
    <n v="30961960970"/>
    <n v="2482087490"/>
    <n v="0.20211720532178901"/>
  </r>
  <r>
    <x v="7"/>
    <n v="9"/>
    <x v="2"/>
    <n v="32899760720"/>
    <n v="1937799750"/>
    <n v="0.14106142370736299"/>
  </r>
  <r>
    <x v="8"/>
    <n v="10"/>
    <x v="2"/>
    <n v="37442485240"/>
    <n v="4542724520"/>
    <n v="0.30348074908557299"/>
  </r>
  <r>
    <x v="9"/>
    <n v="10"/>
    <x v="2"/>
    <n v="40806237430"/>
    <n v="3363752190"/>
    <n v="0.19979925557704101"/>
  </r>
  <r>
    <x v="10"/>
    <n v="10"/>
    <x v="2"/>
    <n v="40500578770"/>
    <n v="-305658660"/>
    <n v="-1.76852383427272E-2"/>
  </r>
  <r>
    <x v="11"/>
    <n v="8"/>
    <x v="2"/>
    <n v="41438186130"/>
    <n v="937607360"/>
    <n v="5.3049132624741299E-2"/>
  </r>
  <r>
    <x v="12"/>
    <n v="9"/>
    <x v="2"/>
    <n v="38040704610"/>
    <n v="-3397481520"/>
    <n v="-0.19946172165311099"/>
  </r>
  <r>
    <x v="13"/>
    <n v="6"/>
    <x v="2"/>
    <n v="134875641900"/>
    <n v="96834937290"/>
    <n v="5.0364278714453103"/>
  </r>
  <r>
    <x v="14"/>
    <n v="5"/>
    <x v="2"/>
    <n v="170900564270"/>
    <n v="36024922370"/>
    <n v="1.6250174585887001"/>
  </r>
  <r>
    <x v="15"/>
    <n v="6"/>
    <x v="2"/>
    <n v="174809458370"/>
    <n v="3908894100"/>
    <n v="0.16201177682859899"/>
  </r>
  <r>
    <x v="16"/>
    <n v="5"/>
    <x v="2"/>
    <n v="226543270090"/>
    <n v="51733811720"/>
    <n v="1.94117228577029"/>
  </r>
  <r>
    <x v="0"/>
    <n v="2"/>
    <x v="3"/>
    <n v="79316802720"/>
    <n v="0"/>
    <n v="0"/>
  </r>
  <r>
    <x v="1"/>
    <n v="2"/>
    <x v="3"/>
    <n v="101196357600"/>
    <n v="21879554880"/>
    <n v="3.15605259479387"/>
  </r>
  <r>
    <x v="2"/>
    <n v="1"/>
    <x v="3"/>
    <n v="194994568300"/>
    <n v="93798210700"/>
    <n v="10.465519815717"/>
  </r>
  <r>
    <x v="3"/>
    <n v="2"/>
    <x v="3"/>
    <n v="129735043100"/>
    <n v="-65259525200"/>
    <n v="-6.94428522117067"/>
  </r>
  <r>
    <x v="4"/>
    <n v="3"/>
    <x v="3"/>
    <n v="146689954980"/>
    <n v="16954911880"/>
    <n v="1.4694380356258601"/>
  </r>
  <r>
    <x v="5"/>
    <n v="3"/>
    <x v="3"/>
    <n v="143056014570"/>
    <n v="-3633940410"/>
    <n v="-0.302155425309312"/>
  </r>
  <r>
    <x v="6"/>
    <n v="3"/>
    <x v="3"/>
    <n v="151583935930"/>
    <n v="8527921360"/>
    <n v="0.694431457163175"/>
  </r>
  <r>
    <x v="7"/>
    <n v="3"/>
    <x v="3"/>
    <n v="182438694330"/>
    <n v="30854758400"/>
    <n v="2.2460608471286601"/>
  </r>
  <r>
    <x v="8"/>
    <n v="3"/>
    <x v="3"/>
    <n v="188839700380"/>
    <n v="6401006050"/>
    <n v="0.42762489831879302"/>
  </r>
  <r>
    <x v="9"/>
    <n v="4"/>
    <x v="3"/>
    <n v="201036530800"/>
    <n v="12196830420"/>
    <n v="0.72446408078456204"/>
  </r>
  <r>
    <x v="10"/>
    <n v="3"/>
    <x v="3"/>
    <n v="223576317440"/>
    <n v="22539786640"/>
    <n v="1.3041393917077899"/>
  </r>
  <r>
    <x v="11"/>
    <n v="2"/>
    <x v="3"/>
    <n v="294718568010"/>
    <n v="71142250570"/>
    <n v="4.02517604566426"/>
  </r>
  <r>
    <x v="12"/>
    <n v="3"/>
    <x v="3"/>
    <n v="240878490340"/>
    <n v="-53840077670"/>
    <n v="-3.16088094159683"/>
  </r>
  <r>
    <x v="13"/>
    <n v="2"/>
    <x v="3"/>
    <n v="307424051760"/>
    <n v="66545561420"/>
    <n v="3.4610640501883601"/>
  </r>
  <r>
    <x v="14"/>
    <n v="2"/>
    <x v="3"/>
    <n v="387465583960"/>
    <n v="80041532200"/>
    <n v="3.61052512206121"/>
  </r>
  <r>
    <x v="15"/>
    <n v="3"/>
    <x v="3"/>
    <n v="336797012060"/>
    <n v="-50668571900"/>
    <n v="-2.1000582652998001"/>
  </r>
  <r>
    <x v="16"/>
    <n v="3"/>
    <x v="3"/>
    <n v="373915356060"/>
    <n v="37118344000"/>
    <n v="1.3927661285903801"/>
  </r>
  <r>
    <x v="0"/>
    <n v="5"/>
    <x v="4"/>
    <n v="32572287180"/>
    <n v="0"/>
    <n v="0"/>
  </r>
  <r>
    <x v="1"/>
    <n v="5"/>
    <x v="4"/>
    <n v="36023650100"/>
    <n v="3451362920"/>
    <n v="0.49784755489693699"/>
  </r>
  <r>
    <x v="2"/>
    <n v="5"/>
    <x v="4"/>
    <n v="42672732370"/>
    <n v="6649082270"/>
    <n v="0.74187025246759297"/>
  </r>
  <r>
    <x v="3"/>
    <n v="5"/>
    <x v="4"/>
    <n v="51852810750"/>
    <n v="9180078380"/>
    <n v="0.97685483349827396"/>
  </r>
  <r>
    <x v="4"/>
    <n v="6"/>
    <x v="4"/>
    <n v="54227575250"/>
    <n v="2374764500"/>
    <n v="0.20581465162731499"/>
  </r>
  <r>
    <x v="5"/>
    <n v="6"/>
    <x v="4"/>
    <n v="51233094980"/>
    <n v="-2994480270"/>
    <n v="-0.248985497140332"/>
  </r>
  <r>
    <x v="6"/>
    <n v="6"/>
    <x v="4"/>
    <n v="54643719990"/>
    <n v="3410625010"/>
    <n v="0.27772832271186298"/>
  </r>
  <r>
    <x v="7"/>
    <n v="6"/>
    <x v="4"/>
    <n v="55046544480"/>
    <n v="402824490"/>
    <n v="2.9323461345060201E-2"/>
  </r>
  <r>
    <x v="8"/>
    <n v="7"/>
    <x v="4"/>
    <n v="53197845670"/>
    <n v="-1848698810"/>
    <n v="-0.123503967106596"/>
  </r>
  <r>
    <x v="9"/>
    <n v="9"/>
    <x v="4"/>
    <n v="54162385430"/>
    <n v="964539760"/>
    <n v="5.7291475452731798E-2"/>
  </r>
  <r>
    <x v="10"/>
    <n v="7"/>
    <x v="4"/>
    <n v="51178748570"/>
    <n v="-2983636860"/>
    <n v="-0.17263155245542899"/>
  </r>
  <r>
    <x v="11"/>
    <n v="10"/>
    <x v="4"/>
    <n v="10831380830"/>
    <n v="-40347367740"/>
    <n v="-2.2828242968340899"/>
  </r>
  <r>
    <x v="12"/>
    <n v="10"/>
    <x v="4"/>
    <n v="10175092390"/>
    <n v="-656288440"/>
    <n v="-3.85298408167455E-2"/>
  </r>
  <r>
    <x v="13"/>
    <n v="1"/>
    <x v="4"/>
    <n v="453967623640"/>
    <n v="443792531250"/>
    <n v="23.081845623889102"/>
  </r>
  <r>
    <x v="14"/>
    <n v="1"/>
    <x v="4"/>
    <n v="548283822260"/>
    <n v="94316198620"/>
    <n v="4.2544288593069304"/>
  </r>
  <r>
    <x v="15"/>
    <n v="1"/>
    <x v="4"/>
    <n v="619774103370"/>
    <n v="71490281110"/>
    <n v="2.96305481097765"/>
  </r>
  <r>
    <x v="16"/>
    <n v="1"/>
    <x v="4"/>
    <n v="589854972440"/>
    <n v="-29919130930"/>
    <n v="-1.12263500107022"/>
  </r>
  <r>
    <x v="0"/>
    <n v="6"/>
    <x v="5"/>
    <n v="21182831200"/>
    <n v="0"/>
    <n v="0"/>
  </r>
  <r>
    <x v="1"/>
    <n v="6"/>
    <x v="5"/>
    <n v="25912758700"/>
    <n v="4729927500"/>
    <n v="0.68227621820622197"/>
  </r>
  <r>
    <x v="2"/>
    <n v="7"/>
    <x v="5"/>
    <n v="28333706410"/>
    <n v="2420947710"/>
    <n v="0.27011683957228899"/>
  </r>
  <r>
    <x v="3"/>
    <n v="6"/>
    <x v="5"/>
    <n v="50720689470"/>
    <n v="22386983060"/>
    <n v="2.38220543489575"/>
  </r>
  <r>
    <x v="4"/>
    <n v="7"/>
    <x v="5"/>
    <n v="34830369850"/>
    <n v="-15890319620"/>
    <n v="-1.37717259830901"/>
  </r>
  <r>
    <x v="5"/>
    <n v="10"/>
    <x v="5"/>
    <n v="22820560870"/>
    <n v="-12009808980"/>
    <n v="-0.99859340848010503"/>
  </r>
  <r>
    <x v="6"/>
    <n v="10"/>
    <x v="5"/>
    <n v="30284222450"/>
    <n v="7463661580"/>
    <n v="0.60776843124784696"/>
  </r>
  <r>
    <x v="7"/>
    <n v="10"/>
    <x v="5"/>
    <n v="27396327840"/>
    <n v="-2887894610"/>
    <n v="-0.21022323137538801"/>
  </r>
  <r>
    <x v="8"/>
    <n v="8"/>
    <x v="5"/>
    <n v="39529170430"/>
    <n v="12132842590"/>
    <n v="0.81054533277103602"/>
  </r>
  <r>
    <x v="9"/>
    <n v="8"/>
    <x v="5"/>
    <n v="54748971820"/>
    <n v="15219801390"/>
    <n v="0.90402170433144002"/>
  </r>
  <r>
    <x v="10"/>
    <n v="8"/>
    <x v="5"/>
    <n v="50538001290"/>
    <n v="-4210970530"/>
    <n v="-0.24364438906213401"/>
  </r>
  <r>
    <x v="11"/>
    <n v="7"/>
    <x v="5"/>
    <n v="55504362210"/>
    <n v="4966360920"/>
    <n v="0.28099303647468399"/>
  </r>
  <r>
    <x v="12"/>
    <n v="7"/>
    <x v="5"/>
    <n v="48250467470"/>
    <n v="-7253894740"/>
    <n v="-0.42586672657776498"/>
  </r>
  <r>
    <x v="13"/>
    <n v="9"/>
    <x v="5"/>
    <n v="5275900690"/>
    <n v="-42974566780"/>
    <n v="-2.2351262049759302"/>
  </r>
  <r>
    <x v="14"/>
    <n v="9"/>
    <x v="5"/>
    <n v="8410741630"/>
    <n v="3134840940"/>
    <n v="0.141406862867825"/>
  </r>
  <r>
    <x v="15"/>
    <n v="9"/>
    <x v="5"/>
    <n v="6611669320"/>
    <n v="-1799072310"/>
    <n v="-7.4566077803497499E-2"/>
  </r>
  <r>
    <x v="16"/>
    <n v="9"/>
    <x v="5"/>
    <n v="20420752930"/>
    <n v="13809083610"/>
    <n v="0.51814876005461297"/>
  </r>
  <r>
    <x v="0"/>
    <n v="4"/>
    <x v="6"/>
    <n v="32845904750"/>
    <n v="0"/>
    <n v="0"/>
  </r>
  <r>
    <x v="1"/>
    <n v="3"/>
    <x v="6"/>
    <n v="47609186510"/>
    <n v="14763281760"/>
    <n v="2.12955400426871"/>
  </r>
  <r>
    <x v="2"/>
    <n v="3"/>
    <x v="6"/>
    <n v="69547095470"/>
    <n v="21937908960"/>
    <n v="2.4477185569199298"/>
  </r>
  <r>
    <x v="3"/>
    <n v="3"/>
    <x v="6"/>
    <n v="64337659960"/>
    <n v="-5209435510"/>
    <n v="-0.55433756086743202"/>
  </r>
  <r>
    <x v="4"/>
    <n v="4"/>
    <x v="6"/>
    <n v="92562998490"/>
    <n v="28225338530"/>
    <n v="2.44621654762609"/>
  </r>
  <r>
    <x v="5"/>
    <n v="4"/>
    <x v="6"/>
    <n v="96590846510"/>
    <n v="4027848020"/>
    <n v="0.33490811467774401"/>
  </r>
  <r>
    <x v="6"/>
    <n v="4"/>
    <x v="6"/>
    <n v="105212309820"/>
    <n v="8621463310"/>
    <n v="0.70204860909295996"/>
  </r>
  <r>
    <x v="7"/>
    <n v="4"/>
    <x v="6"/>
    <n v="118853446790"/>
    <n v="13641136970"/>
    <n v="0.99300157406633005"/>
  </r>
  <r>
    <x v="8"/>
    <n v="4"/>
    <x v="6"/>
    <n v="165346579520"/>
    <n v="46493132730"/>
    <n v="3.10601505464729"/>
  </r>
  <r>
    <x v="9"/>
    <n v="3"/>
    <x v="6"/>
    <n v="245186172300"/>
    <n v="79839592780"/>
    <n v="4.7422908412935403"/>
  </r>
  <r>
    <x v="10"/>
    <n v="4"/>
    <x v="6"/>
    <n v="209063305600"/>
    <n v="-36122866700"/>
    <n v="-2.0900487727455999"/>
  </r>
  <r>
    <x v="11"/>
    <n v="4"/>
    <x v="6"/>
    <n v="195117929990"/>
    <n v="-13945375610"/>
    <n v="-0.78901906256017695"/>
  </r>
  <r>
    <x v="12"/>
    <n v="4"/>
    <x v="6"/>
    <n v="197775183470"/>
    <n v="2657253480"/>
    <n v="0.156003896082861"/>
  </r>
  <r>
    <x v="13"/>
    <n v="4"/>
    <x v="6"/>
    <n v="161067720340"/>
    <n v="-36707463130"/>
    <n v="-1.9091713752477899"/>
  </r>
  <r>
    <x v="14"/>
    <n v="6"/>
    <x v="6"/>
    <n v="167644624140"/>
    <n v="6576903800"/>
    <n v="0.29667193696324401"/>
  </r>
  <r>
    <x v="15"/>
    <n v="5"/>
    <x v="6"/>
    <n v="184582848140"/>
    <n v="16938224000"/>
    <n v="0.70203789009296103"/>
  </r>
  <r>
    <x v="16"/>
    <n v="6"/>
    <x v="6"/>
    <n v="217986079910"/>
    <n v="33403231770"/>
    <n v="1.2533665239675"/>
  </r>
  <r>
    <x v="0"/>
    <n v="1"/>
    <x v="7"/>
    <n v="89811751570"/>
    <n v="0"/>
    <n v="0"/>
  </r>
  <r>
    <x v="1"/>
    <n v="1"/>
    <x v="7"/>
    <n v="105823098630"/>
    <n v="16011347060"/>
    <n v="2.3095832484713799"/>
  </r>
  <r>
    <x v="2"/>
    <n v="2"/>
    <x v="7"/>
    <n v="163928402410"/>
    <n v="58105303780"/>
    <n v="6.4830896407264298"/>
  </r>
  <r>
    <x v="3"/>
    <n v="1"/>
    <x v="7"/>
    <n v="187032845850"/>
    <n v="23104443440"/>
    <n v="2.4585506044068701"/>
  </r>
  <r>
    <x v="4"/>
    <n v="2"/>
    <x v="7"/>
    <n v="190441336620"/>
    <n v="3408490770"/>
    <n v="0.29540501401400898"/>
  </r>
  <r>
    <x v="5"/>
    <n v="2"/>
    <x v="7"/>
    <n v="204193830470"/>
    <n v="13752493850"/>
    <n v="1.1434944328959"/>
  </r>
  <r>
    <x v="6"/>
    <n v="1"/>
    <x v="7"/>
    <n v="220761990370"/>
    <n v="16568159900"/>
    <n v="1.3491507409807399"/>
  </r>
  <r>
    <x v="7"/>
    <n v="2"/>
    <x v="7"/>
    <n v="223574185060"/>
    <n v="2812194690"/>
    <n v="0.20471268339965801"/>
  </r>
  <r>
    <x v="8"/>
    <n v="1"/>
    <x v="7"/>
    <n v="265415076870"/>
    <n v="41840891810"/>
    <n v="2.7952179651226601"/>
  </r>
  <r>
    <x v="9"/>
    <n v="1"/>
    <x v="7"/>
    <n v="298614673530"/>
    <n v="33199596660"/>
    <n v="1.9719807891454699"/>
  </r>
  <r>
    <x v="10"/>
    <n v="1"/>
    <x v="7"/>
    <n v="308476900510"/>
    <n v="9862226980"/>
    <n v="0.57062291227533002"/>
  </r>
  <r>
    <x v="11"/>
    <n v="1"/>
    <x v="7"/>
    <n v="348386043550"/>
    <n v="39909143040"/>
    <n v="2.2580298666477301"/>
  </r>
  <r>
    <x v="12"/>
    <n v="1"/>
    <x v="7"/>
    <n v="341876139260"/>
    <n v="-6509904290"/>
    <n v="-0.38218801480938602"/>
  </r>
  <r>
    <x v="0"/>
    <n v="7"/>
    <x v="8"/>
    <n v="20480865800"/>
    <n v="0"/>
    <n v="0"/>
  </r>
  <r>
    <x v="1"/>
    <n v="7"/>
    <x v="8"/>
    <n v="24952594800"/>
    <n v="4471729000"/>
    <n v="0.64503194836772704"/>
  </r>
  <r>
    <x v="2"/>
    <n v="6"/>
    <x v="8"/>
    <n v="31481508600"/>
    <n v="6528913800"/>
    <n v="0.72846247534024799"/>
  </r>
  <r>
    <x v="3"/>
    <n v="7"/>
    <x v="8"/>
    <n v="34725674900"/>
    <n v="3244166300"/>
    <n v="0.34521268769681401"/>
  </r>
  <r>
    <x v="4"/>
    <n v="8"/>
    <x v="8"/>
    <n v="34826365930"/>
    <n v="100691030"/>
    <n v="8.7266292137370104E-3"/>
  </r>
  <r>
    <x v="5"/>
    <n v="7"/>
    <x v="8"/>
    <n v="36365205820"/>
    <n v="1538839890"/>
    <n v="0.127951691273299"/>
  </r>
  <r>
    <x v="6"/>
    <n v="7"/>
    <x v="8"/>
    <n v="40913327130"/>
    <n v="4548121310"/>
    <n v="0.37035502267555898"/>
  </r>
  <r>
    <x v="7"/>
    <n v="7"/>
    <x v="8"/>
    <n v="50942639750"/>
    <n v="10029312620"/>
    <n v="0.73008014217331796"/>
  </r>
  <r>
    <x v="8"/>
    <n v="6"/>
    <x v="8"/>
    <n v="59966727610"/>
    <n v="9024087860"/>
    <n v="0.60286221000405904"/>
  </r>
  <r>
    <x v="9"/>
    <n v="6"/>
    <x v="8"/>
    <n v="64758465430"/>
    <n v="4791737820"/>
    <n v="0.28461836522991701"/>
  </r>
  <r>
    <x v="10"/>
    <n v="6"/>
    <x v="8"/>
    <n v="63767309290"/>
    <n v="-991156140"/>
    <n v="-5.7347737409951097E-2"/>
  </r>
  <r>
    <x v="11"/>
    <n v="6"/>
    <x v="8"/>
    <n v="62597908050"/>
    <n v="-1169401240"/>
    <n v="-6.6163859328383395E-2"/>
  </r>
  <r>
    <x v="12"/>
    <n v="6"/>
    <x v="8"/>
    <n v="62836194590"/>
    <n v="238286540"/>
    <n v="1.3989492874464E-2"/>
  </r>
  <r>
    <x v="13"/>
    <n v="8"/>
    <x v="8"/>
    <n v="64544841800"/>
    <n v="1708647210"/>
    <n v="8.8867496295677695E-2"/>
  </r>
  <r>
    <x v="14"/>
    <n v="8"/>
    <x v="8"/>
    <n v="63830695970"/>
    <n v="-714145830"/>
    <n v="-3.2213794378492103E-2"/>
  </r>
  <r>
    <x v="15"/>
    <n v="8"/>
    <x v="8"/>
    <n v="65463002730"/>
    <n v="1632306760"/>
    <n v="6.7654152747943105E-2"/>
  </r>
  <r>
    <x v="16"/>
    <n v="8"/>
    <x v="8"/>
    <n v="76810865980"/>
    <n v="11347863250"/>
    <n v="0.42579807888184701"/>
  </r>
  <r>
    <x v="4"/>
    <n v="1"/>
    <x v="9"/>
    <n v="198955462476.79999"/>
    <n v="0"/>
    <n v="0"/>
  </r>
  <r>
    <x v="5"/>
    <n v="1"/>
    <x v="9"/>
    <n v="212643177054"/>
    <n v="13687714577.200001"/>
    <n v="1.1381081561506201"/>
  </r>
  <r>
    <x v="6"/>
    <n v="2"/>
    <x v="9"/>
    <n v="219260030955.39999"/>
    <n v="6616853901.3999596"/>
    <n v="0.53881260187711399"/>
  </r>
  <r>
    <x v="7"/>
    <n v="1"/>
    <x v="9"/>
    <n v="229274512668"/>
    <n v="10014481712.6001"/>
    <n v="0.72900053169617696"/>
  </r>
  <r>
    <x v="8"/>
    <n v="2"/>
    <x v="9"/>
    <n v="258881646142.79999"/>
    <n v="29607133474.7999"/>
    <n v="1.9779308663006501"/>
  </r>
  <r>
    <x v="9"/>
    <n v="2"/>
    <x v="9"/>
    <n v="272439876153"/>
    <n v="13558230010.200001"/>
    <n v="0.80532813060175301"/>
  </r>
  <r>
    <x v="10"/>
    <n v="2"/>
    <x v="9"/>
    <n v="271413817996"/>
    <n v="-1026058156.99991"/>
    <n v="-5.93671485049461E-2"/>
  </r>
  <r>
    <x v="11"/>
    <n v="3"/>
    <x v="9"/>
    <n v="261609454425.60001"/>
    <n v="-9804363570.3999901"/>
    <n v="-0.55472365676324398"/>
  </r>
  <r>
    <x v="12"/>
    <n v="2"/>
    <x v="9"/>
    <n v="252359118638"/>
    <n v="-9250335787.6000099"/>
    <n v="-0.543075184133477"/>
  </r>
  <r>
    <x v="13"/>
    <n v="3"/>
    <x v="9"/>
    <n v="292530913928.59998"/>
    <n v="40171795290.599899"/>
    <n v="2.0893528215096602"/>
  </r>
  <r>
    <x v="14"/>
    <n v="3"/>
    <x v="9"/>
    <n v="320737795019.09998"/>
    <n v="28206881090.499901"/>
    <n v="1.27236011097053"/>
  </r>
  <r>
    <x v="15"/>
    <n v="2"/>
    <x v="9"/>
    <n v="406931926209"/>
    <n v="86194131189.900101"/>
    <n v="3.5724846949097699"/>
  </r>
  <r>
    <x v="16"/>
    <n v="2"/>
    <x v="9"/>
    <n v="427761671244.29999"/>
    <n v="20829745035.299999"/>
    <n v="0.781580216842097"/>
  </r>
  <r>
    <x v="17"/>
    <m/>
    <x v="1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x v="0"/>
    <n v="7"/>
    <x v="0"/>
    <n v="13566725970"/>
    <n v="0"/>
    <n v="0"/>
  </r>
  <r>
    <x v="1"/>
    <n v="6"/>
    <x v="0"/>
    <n v="18528667440"/>
    <n v="4961941470"/>
    <n v="0.71574345719088095"/>
  </r>
  <r>
    <x v="2"/>
    <n v="3"/>
    <x v="0"/>
    <n v="36987901000"/>
    <n v="18459233560"/>
    <n v="2.0595859256100701"/>
  </r>
  <r>
    <x v="3"/>
    <n v="7"/>
    <x v="0"/>
    <n v="33011926480"/>
    <n v="-3975974520"/>
    <n v="-0.42308461507144302"/>
  </r>
  <r>
    <x v="4"/>
    <n v="6"/>
    <x v="0"/>
    <n v="42448862460"/>
    <n v="9436935980"/>
    <n v="0.81787465289841499"/>
  </r>
  <r>
    <x v="5"/>
    <n v="4"/>
    <x v="0"/>
    <n v="45221827690"/>
    <n v="2772965230"/>
    <n v="0.23056693118382299"/>
  </r>
  <r>
    <x v="6"/>
    <n v="6"/>
    <x v="0"/>
    <n v="41846107970"/>
    <n v="-3375719720"/>
    <n v="-0.27488597340138499"/>
  </r>
  <r>
    <x v="7"/>
    <n v="4"/>
    <x v="0"/>
    <n v="55270862150"/>
    <n v="13424754180"/>
    <n v="0.97725006804865699"/>
  </r>
  <r>
    <x v="8"/>
    <n v="6"/>
    <x v="0"/>
    <n v="59792022810"/>
    <n v="4521160660"/>
    <n v="0.302040156252536"/>
  </r>
  <r>
    <x v="9"/>
    <n v="4"/>
    <x v="0"/>
    <n v="94430003470"/>
    <n v="34637980660"/>
    <n v="2.0574175384067002"/>
  </r>
  <r>
    <x v="10"/>
    <n v="5"/>
    <x v="0"/>
    <n v="76705272550"/>
    <n v="-17724730920"/>
    <n v="-1.0255429729388601"/>
  </r>
  <r>
    <x v="11"/>
    <n v="10"/>
    <x v="0"/>
    <n v="39357633431"/>
    <n v="-37347639119"/>
    <n v="-2.11310186477718"/>
  </r>
  <r>
    <x v="12"/>
    <n v="10"/>
    <x v="0"/>
    <n v="26919355916"/>
    <n v="-12438277515"/>
    <n v="-0.73023509706716105"/>
  </r>
  <r>
    <x v="13"/>
    <n v="10"/>
    <x v="0"/>
    <n v="23624950580"/>
    <n v="-3294405336"/>
    <n v="-0.17134347703844699"/>
  </r>
  <r>
    <x v="14"/>
    <n v="10"/>
    <x v="0"/>
    <n v="31258535830"/>
    <n v="7633585250"/>
    <n v="0.34433687810540098"/>
  </r>
  <r>
    <x v="15"/>
    <n v="10"/>
    <x v="0"/>
    <n v="31169933840"/>
    <n v="-88601990"/>
    <n v="-3.6722831223413698E-3"/>
  </r>
  <r>
    <x v="16"/>
    <n v="10"/>
    <x v="0"/>
    <n v="36967894790"/>
    <n v="5797960950"/>
    <n v="0.217552906618078"/>
  </r>
  <r>
    <x v="0"/>
    <n v="8"/>
    <x v="1"/>
    <n v="9024646500"/>
    <n v="0"/>
    <n v="0"/>
  </r>
  <r>
    <x v="1"/>
    <n v="8"/>
    <x v="1"/>
    <n v="9956767570"/>
    <n v="932121070"/>
    <n v="0.13445534599630499"/>
  </r>
  <r>
    <x v="2"/>
    <n v="8"/>
    <x v="1"/>
    <n v="10395793470"/>
    <n v="439025900"/>
    <n v="4.8984242042294998E-2"/>
  </r>
  <r>
    <x v="3"/>
    <n v="9"/>
    <x v="1"/>
    <n v="16281591800"/>
    <n v="5885798330"/>
    <n v="0.62630952696250997"/>
  </r>
  <r>
    <x v="4"/>
    <n v="10"/>
    <x v="1"/>
    <n v="30436021340"/>
    <n v="14154429540"/>
    <n v="1.22672752803846"/>
  </r>
  <r>
    <x v="5"/>
    <n v="9"/>
    <x v="1"/>
    <n v="35537797835"/>
    <n v="5101776495"/>
    <n v="0.42420328149513398"/>
  </r>
  <r>
    <x v="6"/>
    <n v="7"/>
    <x v="1"/>
    <n v="40667846020"/>
    <n v="5130048185"/>
    <n v="0.41774152059334302"/>
  </r>
  <r>
    <x v="7"/>
    <n v="8"/>
    <x v="1"/>
    <n v="46748062898"/>
    <n v="6080216878"/>
    <n v="0.44260716271648598"/>
  </r>
  <r>
    <x v="8"/>
    <n v="5"/>
    <x v="1"/>
    <n v="61645207250"/>
    <n v="14897144352"/>
    <n v="0.99521696886450794"/>
  </r>
  <r>
    <x v="9"/>
    <n v="5"/>
    <x v="1"/>
    <n v="74084107100"/>
    <n v="12438899850"/>
    <n v="0.73884245623556699"/>
  </r>
  <r>
    <x v="10"/>
    <n v="4"/>
    <x v="1"/>
    <n v="98276372290"/>
    <n v="24192265190"/>
    <n v="1.39975087221678"/>
  </r>
  <r>
    <x v="11"/>
    <n v="4"/>
    <x v="1"/>
    <n v="119760301310"/>
    <n v="21483929020"/>
    <n v="1.2155448522529799"/>
  </r>
  <r>
    <x v="12"/>
    <n v="3"/>
    <x v="1"/>
    <n v="139014899040"/>
    <n v="19254597730"/>
    <n v="1.1304123923428699"/>
  </r>
  <r>
    <x v="13"/>
    <n v="3"/>
    <x v="1"/>
    <n v="158083297460"/>
    <n v="19068398420"/>
    <n v="0.99175582650198202"/>
  </r>
  <r>
    <x v="14"/>
    <n v="3"/>
    <x v="1"/>
    <n v="164767360320"/>
    <n v="6684062860"/>
    <n v="0.30150568348898199"/>
  </r>
  <r>
    <x v="15"/>
    <n v="4"/>
    <x v="1"/>
    <n v="180836184990"/>
    <n v="16068824670"/>
    <n v="0.66600393096705501"/>
  </r>
  <r>
    <x v="16"/>
    <n v="4"/>
    <x v="1"/>
    <n v="213745188100"/>
    <n v="32909003110"/>
    <n v="1.2348219214004701"/>
  </r>
  <r>
    <x v="0"/>
    <n v="6"/>
    <x v="2"/>
    <n v="14697945100"/>
    <n v="0"/>
    <n v="0"/>
  </r>
  <r>
    <x v="1"/>
    <n v="7"/>
    <x v="2"/>
    <n v="18139479900"/>
    <n v="3441534800"/>
    <n v="0.49642988146628197"/>
  </r>
  <r>
    <x v="2"/>
    <n v="7"/>
    <x v="2"/>
    <n v="21550318800"/>
    <n v="3410838900"/>
    <n v="0.38056378506342198"/>
  </r>
  <r>
    <x v="3"/>
    <n v="8"/>
    <x v="2"/>
    <n v="28042785900"/>
    <n v="6492467100"/>
    <n v="0.69086532875153095"/>
  </r>
  <r>
    <x v="4"/>
    <n v="9"/>
    <x v="2"/>
    <n v="32701611400"/>
    <n v="4658825500"/>
    <n v="0.40376826724290099"/>
  </r>
  <r>
    <x v="5"/>
    <n v="10"/>
    <x v="2"/>
    <n v="32495781800"/>
    <n v="-205829600"/>
    <n v="-1.7114350625591399E-2"/>
  </r>
  <r>
    <x v="6"/>
    <n v="10"/>
    <x v="2"/>
    <n v="32492548800"/>
    <n v="-3233000"/>
    <n v="-2.6326425939375E-4"/>
  </r>
  <r>
    <x v="7"/>
    <n v="10"/>
    <x v="2"/>
    <n v="36244000000"/>
    <n v="3751451200"/>
    <n v="0.27308551734548098"/>
  </r>
  <r>
    <x v="8"/>
    <n v="9"/>
    <x v="2"/>
    <n v="40987427970"/>
    <n v="4743427970"/>
    <n v="0.31688892144599201"/>
  </r>
  <r>
    <x v="9"/>
    <n v="9"/>
    <x v="2"/>
    <n v="47362349130"/>
    <n v="6374921160"/>
    <n v="0.37865586707513299"/>
  </r>
  <r>
    <x v="10"/>
    <n v="9"/>
    <x v="2"/>
    <n v="49390993510"/>
    <n v="2028644380"/>
    <n v="0.11737622409564399"/>
  </r>
  <r>
    <x v="11"/>
    <n v="8"/>
    <x v="2"/>
    <n v="48780516890"/>
    <n v="-610476620"/>
    <n v="-3.4540316725632098E-2"/>
  </r>
  <r>
    <x v="12"/>
    <n v="8"/>
    <x v="2"/>
    <n v="48941597850"/>
    <n v="161080960"/>
    <n v="9.4568536776429499E-3"/>
  </r>
  <r>
    <x v="13"/>
    <n v="7"/>
    <x v="2"/>
    <n v="58960341080"/>
    <n v="10018743230"/>
    <n v="0.52107926180932995"/>
  </r>
  <r>
    <x v="14"/>
    <n v="6"/>
    <x v="2"/>
    <n v="75109107850"/>
    <n v="16148766770"/>
    <n v="0.72844092948775796"/>
  </r>
  <r>
    <x v="15"/>
    <n v="6"/>
    <x v="2"/>
    <n v="80789666160"/>
    <n v="5680558310"/>
    <n v="0.23544187221177601"/>
  </r>
  <r>
    <x v="16"/>
    <n v="6"/>
    <x v="2"/>
    <n v="80216353200"/>
    <n v="-573312960"/>
    <n v="-2.1512028439897302E-2"/>
  </r>
  <r>
    <x v="3"/>
    <n v="2"/>
    <x v="3"/>
    <n v="124981960800"/>
    <n v="0"/>
    <n v="0"/>
  </r>
  <r>
    <x v="4"/>
    <n v="2"/>
    <x v="3"/>
    <n v="142176026250"/>
    <n v="17194065450"/>
    <n v="1.49016485240916"/>
  </r>
  <r>
    <x v="5"/>
    <n v="2"/>
    <x v="3"/>
    <n v="139760050810"/>
    <n v="-2415975440"/>
    <n v="-0.200883890280978"/>
  </r>
  <r>
    <x v="6"/>
    <n v="2"/>
    <x v="3"/>
    <n v="146560929560"/>
    <n v="6800878750"/>
    <n v="0.55379780616933005"/>
  </r>
  <r>
    <x v="7"/>
    <n v="2"/>
    <x v="3"/>
    <n v="175413106510"/>
    <n v="28852176950"/>
    <n v="2.10028366327519"/>
  </r>
  <r>
    <x v="8"/>
    <n v="2"/>
    <x v="3"/>
    <n v="183462771790"/>
    <n v="8049665280"/>
    <n v="0.53776504349036103"/>
  </r>
  <r>
    <x v="9"/>
    <n v="2"/>
    <x v="3"/>
    <n v="191156487070"/>
    <n v="7693715280"/>
    <n v="0.45698924853489398"/>
  </r>
  <r>
    <x v="10"/>
    <n v="2"/>
    <x v="3"/>
    <n v="218063978560"/>
    <n v="26907491490"/>
    <n v="1.55685234046879"/>
  </r>
  <r>
    <x v="11"/>
    <n v="2"/>
    <x v="3"/>
    <n v="286439405140"/>
    <n v="68375426580"/>
    <n v="3.86863118578301"/>
  </r>
  <r>
    <x v="12"/>
    <n v="2"/>
    <x v="3"/>
    <n v="228958771280"/>
    <n v="-57480633860"/>
    <n v="-3.3746132610098001"/>
  </r>
  <r>
    <x v="13"/>
    <n v="2"/>
    <x v="3"/>
    <n v="300936784280"/>
    <n v="71978013000"/>
    <n v="3.7436082569951599"/>
  </r>
  <r>
    <x v="14"/>
    <n v="1"/>
    <x v="3"/>
    <n v="383850985923.59998"/>
    <n v="82914201643.600006"/>
    <n v="3.7401059147874101"/>
  </r>
  <r>
    <x v="15"/>
    <n v="2"/>
    <x v="3"/>
    <n v="333554630350"/>
    <n v="-50296355573.599998"/>
    <n v="-2.0846310301632198"/>
  </r>
  <r>
    <x v="16"/>
    <n v="2"/>
    <x v="3"/>
    <n v="369264345020"/>
    <n v="35709714670"/>
    <n v="1.3399110977042199"/>
  </r>
  <r>
    <x v="0"/>
    <n v="5"/>
    <x v="4"/>
    <n v="19535692500"/>
    <n v="0"/>
    <n v="0"/>
  </r>
  <r>
    <x v="1"/>
    <n v="5"/>
    <x v="4"/>
    <n v="24297070900"/>
    <n v="4761378400"/>
    <n v="0.68681290531425498"/>
  </r>
  <r>
    <x v="2"/>
    <n v="6"/>
    <x v="4"/>
    <n v="29418570200"/>
    <n v="5121499300"/>
    <n v="0.57143043572291397"/>
  </r>
  <r>
    <x v="3"/>
    <n v="6"/>
    <x v="4"/>
    <n v="34047203600"/>
    <n v="4628633400"/>
    <n v="0.49253423795729601"/>
  </r>
  <r>
    <x v="4"/>
    <n v="8"/>
    <x v="4"/>
    <n v="34112317390"/>
    <n v="65113790"/>
    <n v="5.6432425215149403E-3"/>
  </r>
  <r>
    <x v="5"/>
    <n v="8"/>
    <x v="4"/>
    <n v="35664777320"/>
    <n v="1552459930"/>
    <n v="0.12908417241349701"/>
  </r>
  <r>
    <x v="6"/>
    <n v="8"/>
    <x v="4"/>
    <n v="39819376400"/>
    <n v="4154599080"/>
    <n v="0.33831037731956598"/>
  </r>
  <r>
    <x v="7"/>
    <n v="7"/>
    <x v="4"/>
    <n v="49461593180"/>
    <n v="9642216780"/>
    <n v="0.70190164214946504"/>
  </r>
  <r>
    <x v="8"/>
    <n v="7"/>
    <x v="4"/>
    <n v="58484083830"/>
    <n v="9022490650"/>
    <n v="0.60275550697042501"/>
  </r>
  <r>
    <x v="9"/>
    <n v="7"/>
    <x v="4"/>
    <n v="63391288960"/>
    <n v="4907205130"/>
    <n v="0.29147686171787701"/>
  </r>
  <r>
    <x v="10"/>
    <n v="8"/>
    <x v="4"/>
    <n v="62288782080"/>
    <n v="-1102506880"/>
    <n v="-6.3790428667378704E-2"/>
  </r>
  <r>
    <x v="11"/>
    <n v="7"/>
    <x v="4"/>
    <n v="60610047550"/>
    <n v="-1678734530"/>
    <n v="-9.4981561070193302E-2"/>
  </r>
  <r>
    <x v="12"/>
    <n v="6"/>
    <x v="4"/>
    <n v="60599650740"/>
    <n v="-10396810"/>
    <n v="-6.1038319416680301E-4"/>
  </r>
  <r>
    <x v="13"/>
    <n v="6"/>
    <x v="4"/>
    <n v="63085147800"/>
    <n v="2485497060"/>
    <n v="0.12927180021700799"/>
  </r>
  <r>
    <x v="14"/>
    <n v="8"/>
    <x v="4"/>
    <n v="62266384100"/>
    <n v="-818763700"/>
    <n v="-3.6932912534647699E-2"/>
  </r>
  <r>
    <x v="15"/>
    <n v="8"/>
    <x v="4"/>
    <n v="63852845500"/>
    <n v="1586461400"/>
    <n v="6.57540019526206E-2"/>
  </r>
  <r>
    <x v="16"/>
    <n v="8"/>
    <x v="4"/>
    <n v="75203077490"/>
    <n v="11350231990"/>
    <n v="0.42588695948598798"/>
  </r>
  <r>
    <x v="0"/>
    <n v="3"/>
    <x v="5"/>
    <n v="27886041900"/>
    <n v="0"/>
    <n v="0"/>
  </r>
  <r>
    <x v="1"/>
    <n v="3"/>
    <x v="5"/>
    <n v="44013019900"/>
    <n v="16126978000"/>
    <n v="2.3262626247304898"/>
  </r>
  <r>
    <x v="2"/>
    <n v="2"/>
    <x v="5"/>
    <n v="41901173500"/>
    <n v="-2111846400"/>
    <n v="-0.23562891212966999"/>
  </r>
  <r>
    <x v="3"/>
    <n v="3"/>
    <x v="5"/>
    <n v="57792252780"/>
    <n v="15891079280"/>
    <n v="1.69097440801723"/>
  </r>
  <r>
    <x v="4"/>
    <n v="4"/>
    <x v="5"/>
    <n v="50304157369.400002"/>
    <n v="-7488095410.6000004"/>
    <n v="-0.64897371856650998"/>
  </r>
  <r>
    <x v="5"/>
    <n v="6"/>
    <x v="5"/>
    <n v="37129375488"/>
    <n v="-13174781881.4"/>
    <n v="-1.09545875099582"/>
  </r>
  <r>
    <x v="6"/>
    <n v="4"/>
    <x v="5"/>
    <n v="47741974411.5"/>
    <n v="10612598923.5"/>
    <n v="0.86418744071702402"/>
  </r>
  <r>
    <x v="7"/>
    <n v="6"/>
    <x v="5"/>
    <n v="49832853733.400002"/>
    <n v="2090879321.9000001"/>
    <n v="0.15220479512782401"/>
  </r>
  <r>
    <x v="8"/>
    <n v="4"/>
    <x v="5"/>
    <n v="71625746511.899994"/>
    <n v="21792892778.5"/>
    <n v="1.45589357136733"/>
  </r>
  <r>
    <x v="9"/>
    <n v="6"/>
    <x v="5"/>
    <n v="65775613750.5"/>
    <n v="-5850132761.3999901"/>
    <n v="-0.34748462571928601"/>
  </r>
  <r>
    <x v="10"/>
    <n v="6"/>
    <x v="5"/>
    <n v="68797117231.899994"/>
    <n v="3021503481.3999901"/>
    <n v="0.17482249389544199"/>
  </r>
  <r>
    <x v="11"/>
    <n v="5"/>
    <x v="5"/>
    <n v="78514441396.899994"/>
    <n v="9717324165"/>
    <n v="0.54979903142685305"/>
  </r>
  <r>
    <x v="12"/>
    <n v="5"/>
    <x v="5"/>
    <n v="63554355618.699997"/>
    <n v="-14960085778.200001"/>
    <n v="-0.878287180616658"/>
  </r>
  <r>
    <x v="13"/>
    <n v="5"/>
    <x v="5"/>
    <n v="69229265895.899994"/>
    <n v="5674910277.1999998"/>
    <n v="0.29515459076972"/>
  </r>
  <r>
    <x v="14"/>
    <n v="5"/>
    <x v="5"/>
    <n v="81922195002.899994"/>
    <n v="12692929107"/>
    <n v="0.57255449956723203"/>
  </r>
  <r>
    <x v="15"/>
    <n v="5"/>
    <x v="5"/>
    <n v="116167113084.39999"/>
    <n v="34244918081.5"/>
    <n v="1.4193477448605301"/>
  </r>
  <r>
    <x v="16"/>
    <n v="5"/>
    <x v="5"/>
    <n v="160801895222.70001"/>
    <n v="44634782138.300003"/>
    <n v="1.6748002744743999"/>
  </r>
  <r>
    <x v="0"/>
    <n v="2"/>
    <x v="6"/>
    <n v="44920533600"/>
    <n v="0"/>
    <n v="0"/>
  </r>
  <r>
    <x v="1"/>
    <n v="2"/>
    <x v="6"/>
    <n v="52101000500"/>
    <n v="7180466900"/>
    <n v="1.03575832853399"/>
  </r>
  <r>
    <x v="2"/>
    <n v="5"/>
    <x v="6"/>
    <n v="30009407490"/>
    <n v="-22091593010"/>
    <n v="-2.4648658293319698"/>
  </r>
  <r>
    <x v="3"/>
    <n v="5"/>
    <x v="6"/>
    <n v="37235981980"/>
    <n v="7226574490"/>
    <n v="0.768981911480349"/>
  </r>
  <r>
    <x v="4"/>
    <n v="7"/>
    <x v="6"/>
    <n v="40330738421"/>
    <n v="3094756441"/>
    <n v="0.26821447717270702"/>
  </r>
  <r>
    <x v="5"/>
    <n v="7"/>
    <x v="6"/>
    <n v="36022078484"/>
    <n v="-4308659937"/>
    <n v="-0.35825710630665702"/>
  </r>
  <r>
    <x v="6"/>
    <n v="9"/>
    <x v="6"/>
    <n v="36297987613"/>
    <n v="275909129"/>
    <n v="2.2467371638156399E-2"/>
  </r>
  <r>
    <x v="7"/>
    <n v="9"/>
    <x v="6"/>
    <n v="36604088699"/>
    <n v="306101086"/>
    <n v="2.22825165446171E-2"/>
  </r>
  <r>
    <x v="8"/>
    <n v="10"/>
    <x v="6"/>
    <n v="37197902112"/>
    <n v="593813413"/>
    <n v="3.9670232830737603E-2"/>
  </r>
  <r>
    <x v="9"/>
    <n v="10"/>
    <x v="6"/>
    <n v="43785344870"/>
    <n v="6587442758"/>
    <n v="0.391279168280458"/>
  </r>
  <r>
    <x v="10"/>
    <n v="10"/>
    <x v="6"/>
    <n v="47866601798"/>
    <n v="4081256928"/>
    <n v="0.23613923292599201"/>
  </r>
  <r>
    <x v="11"/>
    <n v="9"/>
    <x v="6"/>
    <n v="48535739900"/>
    <n v="669138102"/>
    <n v="3.7859340094414003E-2"/>
  </r>
  <r>
    <x v="12"/>
    <n v="9"/>
    <x v="6"/>
    <n v="47694425935"/>
    <n v="-841313965"/>
    <n v="-4.9392448765903998E-2"/>
  </r>
  <r>
    <x v="13"/>
    <n v="9"/>
    <x v="6"/>
    <n v="49689394462.900002"/>
    <n v="1994968527.9000001"/>
    <n v="0.103759194540309"/>
  </r>
  <r>
    <x v="14"/>
    <n v="9"/>
    <x v="6"/>
    <n v="51726523863"/>
    <n v="2037129400.0999999"/>
    <n v="9.1891130439286303E-2"/>
  </r>
  <r>
    <x v="15"/>
    <n v="9"/>
    <x v="6"/>
    <n v="50690212440"/>
    <n v="-1036311423"/>
    <n v="-4.2951957943297599E-2"/>
  </r>
  <r>
    <x v="16"/>
    <n v="9"/>
    <x v="6"/>
    <n v="56195485911.699997"/>
    <n v="5505273471.6999998"/>
    <n v="0.20657059539108"/>
  </r>
  <r>
    <x v="0"/>
    <n v="1"/>
    <x v="7"/>
    <n v="84049095490"/>
    <n v="0"/>
    <n v="0"/>
  </r>
  <r>
    <x v="1"/>
    <n v="1"/>
    <x v="7"/>
    <n v="97389773900"/>
    <n v="13340678410"/>
    <n v="1.92434823025938"/>
  </r>
  <r>
    <x v="2"/>
    <n v="1"/>
    <x v="7"/>
    <n v="154853445040"/>
    <n v="57463671140"/>
    <n v="6.4114995852422396"/>
  </r>
  <r>
    <x v="3"/>
    <n v="1"/>
    <x v="7"/>
    <n v="177552311210"/>
    <n v="22698866170"/>
    <n v="2.4153930081253798"/>
  </r>
  <r>
    <x v="4"/>
    <n v="1"/>
    <x v="7"/>
    <n v="178459706390"/>
    <n v="907395180"/>
    <n v="7.8641575979430903E-2"/>
  </r>
  <r>
    <x v="5"/>
    <n v="1"/>
    <x v="7"/>
    <n v="188395843560"/>
    <n v="9936137170"/>
    <n v="0.82617143205521404"/>
  </r>
  <r>
    <x v="6"/>
    <n v="1"/>
    <x v="7"/>
    <n v="198981359310"/>
    <n v="10585515750"/>
    <n v="0.86198204894049801"/>
  </r>
  <r>
    <x v="7"/>
    <n v="1"/>
    <x v="7"/>
    <n v="199965193850"/>
    <n v="983834540"/>
    <n v="7.1617875327354294E-2"/>
  </r>
  <r>
    <x v="8"/>
    <n v="1"/>
    <x v="7"/>
    <n v="240512322130"/>
    <n v="40547128280"/>
    <n v="2.7087869426172499"/>
  </r>
  <r>
    <x v="9"/>
    <n v="1"/>
    <x v="7"/>
    <n v="283198414890"/>
    <n v="42686092760"/>
    <n v="2.53545715474971"/>
  </r>
  <r>
    <x v="10"/>
    <n v="1"/>
    <x v="7"/>
    <n v="291178623730"/>
    <n v="7980208840"/>
    <n v="0.461730400048665"/>
  </r>
  <r>
    <x v="11"/>
    <n v="1"/>
    <x v="7"/>
    <n v="296525004583"/>
    <n v="5346380853"/>
    <n v="0.30249428388998001"/>
  </r>
  <r>
    <x v="12"/>
    <n v="1"/>
    <x v="7"/>
    <n v="310613453340"/>
    <n v="14088448757"/>
    <n v="0.82711450465604197"/>
  </r>
  <r>
    <x v="13"/>
    <n v="1"/>
    <x v="7"/>
    <n v="342706297665.09998"/>
    <n v="32092844325.099998"/>
    <n v="1.6691630124035901"/>
  </r>
  <r>
    <x v="14"/>
    <n v="2"/>
    <x v="7"/>
    <n v="383663238290"/>
    <n v="40956940624.900002"/>
    <n v="1.8474916581990599"/>
  </r>
  <r>
    <x v="15"/>
    <n v="1"/>
    <x v="7"/>
    <n v="405464037550"/>
    <n v="21800799260"/>
    <n v="0.90357685167173196"/>
  </r>
  <r>
    <x v="16"/>
    <n v="1"/>
    <x v="7"/>
    <n v="423837664000"/>
    <n v="18373626450"/>
    <n v="0.68942096605743797"/>
  </r>
  <r>
    <x v="0"/>
    <n v="4"/>
    <x v="8"/>
    <n v="27060473700"/>
    <n v="0"/>
    <n v="0"/>
  </r>
  <r>
    <x v="1"/>
    <n v="4"/>
    <x v="8"/>
    <n v="31440012600"/>
    <n v="4379538900"/>
    <n v="0.63173383485878798"/>
  </r>
  <r>
    <x v="2"/>
    <n v="4"/>
    <x v="8"/>
    <n v="35485937670"/>
    <n v="4045925070"/>
    <n v="0.451423419242166"/>
  </r>
  <r>
    <x v="3"/>
    <n v="4"/>
    <x v="8"/>
    <n v="41839756400"/>
    <n v="6353818730"/>
    <n v="0.67611171502572298"/>
  </r>
  <r>
    <x v="4"/>
    <n v="5"/>
    <x v="8"/>
    <n v="44039811310"/>
    <n v="2200054910"/>
    <n v="0.19067302667806199"/>
  </r>
  <r>
    <x v="5"/>
    <n v="5"/>
    <x v="8"/>
    <n v="43596106194"/>
    <n v="-443705116"/>
    <n v="-3.6893259908160503E-2"/>
  </r>
  <r>
    <x v="6"/>
    <n v="5"/>
    <x v="8"/>
    <n v="47172410456"/>
    <n v="3576304262"/>
    <n v="0.29121963900468401"/>
  </r>
  <r>
    <x v="7"/>
    <n v="5"/>
    <x v="8"/>
    <n v="50974246118.599998"/>
    <n v="3801835662.5999999"/>
    <n v="0.27675323586339701"/>
  </r>
  <r>
    <x v="8"/>
    <n v="8"/>
    <x v="8"/>
    <n v="57339541409"/>
    <n v="6365295290.3999996"/>
    <n v="0.42523920928435799"/>
  </r>
  <r>
    <x v="9"/>
    <n v="8"/>
    <x v="8"/>
    <n v="59331932620"/>
    <n v="1992391211"/>
    <n v="0.11834352184428901"/>
  </r>
  <r>
    <x v="10"/>
    <n v="7"/>
    <x v="8"/>
    <n v="63428267740"/>
    <n v="4096335120"/>
    <n v="0.23701164864389601"/>
  </r>
  <r>
    <x v="11"/>
    <n v="6"/>
    <x v="8"/>
    <n v="63900338520"/>
    <n v="472070780"/>
    <n v="2.6709416419774101E-2"/>
  </r>
  <r>
    <x v="12"/>
    <n v="7"/>
    <x v="8"/>
    <n v="60418971025"/>
    <n v="-3481367495"/>
    <n v="-0.20438655815260501"/>
  </r>
  <r>
    <x v="13"/>
    <n v="8"/>
    <x v="8"/>
    <n v="58769355011.599998"/>
    <n v="-1649616013.4000001"/>
    <n v="-8.5797257679726194E-2"/>
  </r>
  <r>
    <x v="14"/>
    <n v="7"/>
    <x v="8"/>
    <n v="68285832633.800003"/>
    <n v="9516477622.2000008"/>
    <n v="0.42927066216864002"/>
  </r>
  <r>
    <x v="15"/>
    <n v="7"/>
    <x v="8"/>
    <n v="78431668855"/>
    <n v="10145836221.200001"/>
    <n v="0.42051406652550999"/>
  </r>
  <r>
    <x v="16"/>
    <n v="7"/>
    <x v="8"/>
    <n v="80148768650"/>
    <n v="1717099795"/>
    <n v="6.4429556283154304E-2"/>
  </r>
  <r>
    <x v="4"/>
    <n v="3"/>
    <x v="9"/>
    <n v="99638308521.800003"/>
    <n v="0"/>
    <n v="0"/>
  </r>
  <r>
    <x v="5"/>
    <n v="3"/>
    <x v="9"/>
    <n v="106598484213"/>
    <n v="6960175691.2000103"/>
    <n v="0.57872573815872597"/>
  </r>
  <r>
    <x v="6"/>
    <n v="3"/>
    <x v="9"/>
    <n v="110076247861.2"/>
    <n v="3477763648.1999998"/>
    <n v="0.28319544422823401"/>
  </r>
  <r>
    <x v="7"/>
    <n v="3"/>
    <x v="9"/>
    <n v="115211795775.8"/>
    <n v="5135547914.5999804"/>
    <n v="0.37384033120597199"/>
  </r>
  <r>
    <x v="8"/>
    <n v="3"/>
    <x v="9"/>
    <n v="129991656221.89999"/>
    <n v="14779860446.1"/>
    <n v="0.98738171329012503"/>
  </r>
  <r>
    <x v="9"/>
    <n v="3"/>
    <x v="9"/>
    <n v="136787469456.5"/>
    <n v="6795813234.6000204"/>
    <n v="0.40365590228383802"/>
  </r>
  <r>
    <x v="10"/>
    <n v="3"/>
    <x v="9"/>
    <n v="136348053595.5"/>
    <n v="-439415860.99998498"/>
    <n v="-2.5424354845236301E-2"/>
  </r>
  <r>
    <x v="11"/>
    <n v="3"/>
    <x v="9"/>
    <n v="131360055521.8"/>
    <n v="-4987998073.6999998"/>
    <n v="-0.28221725066627601"/>
  </r>
  <r>
    <x v="12"/>
    <n v="4"/>
    <x v="9"/>
    <n v="126700324516.5"/>
    <n v="-4659731005.3000202"/>
    <n v="-0.27356674739397102"/>
  </r>
  <r>
    <x v="13"/>
    <n v="4"/>
    <x v="9"/>
    <n v="148812570784.20001"/>
    <n v="22112246267.700001"/>
    <n v="1.1500676978742399"/>
  </r>
  <r>
    <x v="14"/>
    <n v="4"/>
    <x v="9"/>
    <n v="163820910186"/>
    <n v="15008339401.799999"/>
    <n v="0.67699836523894097"/>
  </r>
  <r>
    <x v="15"/>
    <n v="3"/>
    <x v="9"/>
    <n v="204069845912"/>
    <n v="40248935726"/>
    <n v="1.6681960231230999"/>
  </r>
  <r>
    <x v="16"/>
    <n v="3"/>
    <x v="9"/>
    <n v="214869072595.5"/>
    <n v="10799226683.5"/>
    <n v="0.4052119658072099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3">
  <r>
    <x v="0"/>
    <x v="0"/>
    <n v="1002031550"/>
  </r>
  <r>
    <x v="0"/>
    <x v="1"/>
    <n v="12552000"/>
  </r>
  <r>
    <x v="1"/>
    <x v="2"/>
    <n v="44717881670"/>
  </r>
  <r>
    <x v="1"/>
    <x v="3"/>
    <n v="2558711400"/>
  </r>
  <r>
    <x v="1"/>
    <x v="4"/>
    <n v="1997336900"/>
  </r>
  <r>
    <x v="1"/>
    <x v="5"/>
    <n v="1333410350"/>
  </r>
  <r>
    <x v="1"/>
    <x v="6"/>
    <n v="1039532400"/>
  </r>
  <r>
    <x v="1"/>
    <x v="7"/>
    <n v="624565590"/>
  </r>
  <r>
    <x v="1"/>
    <x v="8"/>
    <n v="456369980"/>
  </r>
  <r>
    <x v="1"/>
    <x v="9"/>
    <n v="160780620"/>
  </r>
  <r>
    <x v="1"/>
    <x v="10"/>
    <n v="154847500"/>
  </r>
  <r>
    <x v="2"/>
    <x v="2"/>
    <n v="64946528930"/>
  </r>
  <r>
    <x v="2"/>
    <x v="8"/>
    <n v="2226271140"/>
  </r>
  <r>
    <x v="2"/>
    <x v="3"/>
    <n v="852348540"/>
  </r>
  <r>
    <x v="2"/>
    <x v="5"/>
    <n v="510649700"/>
  </r>
  <r>
    <x v="2"/>
    <x v="9"/>
    <n v="306429180"/>
  </r>
  <r>
    <x v="2"/>
    <x v="1"/>
    <n v="9273290"/>
  </r>
  <r>
    <x v="3"/>
    <x v="2"/>
    <n v="69024889110"/>
  </r>
  <r>
    <x v="3"/>
    <x v="11"/>
    <n v="54314243240"/>
  </r>
  <r>
    <x v="3"/>
    <x v="12"/>
    <n v="36794013510"/>
  </r>
  <r>
    <x v="3"/>
    <x v="10"/>
    <n v="35123585880"/>
  </r>
  <r>
    <x v="3"/>
    <x v="13"/>
    <n v="17328754810"/>
  </r>
  <r>
    <x v="3"/>
    <x v="14"/>
    <n v="13500223270"/>
  </r>
  <r>
    <x v="3"/>
    <x v="3"/>
    <n v="9983300970"/>
  </r>
  <r>
    <x v="3"/>
    <x v="15"/>
    <n v="7436491070"/>
  </r>
  <r>
    <x v="3"/>
    <x v="16"/>
    <n v="6474346770"/>
  </r>
  <r>
    <x v="3"/>
    <x v="17"/>
    <n v="4256286300"/>
  </r>
  <r>
    <x v="3"/>
    <x v="18"/>
    <n v="4002349560"/>
  </r>
  <r>
    <x v="3"/>
    <x v="4"/>
    <n v="3958816260"/>
  </r>
  <r>
    <x v="3"/>
    <x v="19"/>
    <n v="3899335500"/>
  </r>
  <r>
    <x v="3"/>
    <x v="20"/>
    <n v="2721229370"/>
  </r>
  <r>
    <x v="3"/>
    <x v="21"/>
    <n v="2224778600"/>
  </r>
  <r>
    <x v="3"/>
    <x v="22"/>
    <n v="1934975600"/>
  </r>
  <r>
    <x v="3"/>
    <x v="8"/>
    <n v="1879091740"/>
  </r>
  <r>
    <x v="3"/>
    <x v="23"/>
    <n v="1829083480"/>
  </r>
  <r>
    <x v="3"/>
    <x v="24"/>
    <n v="1627451000"/>
  </r>
  <r>
    <x v="3"/>
    <x v="25"/>
    <n v="1329725900"/>
  </r>
  <r>
    <x v="3"/>
    <x v="5"/>
    <n v="956254000"/>
  </r>
  <r>
    <x v="3"/>
    <x v="26"/>
    <n v="688307950"/>
  </r>
  <r>
    <x v="3"/>
    <x v="27"/>
    <n v="583958350"/>
  </r>
  <r>
    <x v="3"/>
    <x v="28"/>
    <n v="476714590"/>
  </r>
  <r>
    <x v="3"/>
    <x v="29"/>
    <n v="321422320"/>
  </r>
  <r>
    <x v="3"/>
    <x v="30"/>
    <n v="200820200"/>
  </r>
  <r>
    <x v="3"/>
    <x v="31"/>
    <n v="199974430"/>
  </r>
  <r>
    <x v="3"/>
    <x v="32"/>
    <n v="175000000"/>
  </r>
  <r>
    <x v="3"/>
    <x v="6"/>
    <n v="155079800"/>
  </r>
  <r>
    <x v="3"/>
    <x v="9"/>
    <n v="142758680"/>
  </r>
  <r>
    <x v="3"/>
    <x v="1"/>
    <n v="29881200"/>
  </r>
  <r>
    <x v="3"/>
    <x v="33"/>
    <n v="17937920"/>
  </r>
  <r>
    <x v="4"/>
    <x v="34"/>
    <n v="8352012860"/>
  </r>
  <r>
    <x v="4"/>
    <x v="3"/>
    <n v="108820330"/>
  </r>
  <r>
    <x v="4"/>
    <x v="9"/>
    <n v="53913970"/>
  </r>
  <r>
    <x v="4"/>
    <x v="35"/>
    <n v="28399500"/>
  </r>
  <r>
    <x v="4"/>
    <x v="8"/>
    <n v="14942880"/>
  </r>
  <r>
    <x v="5"/>
    <x v="34"/>
    <n v="77266858570"/>
  </r>
  <r>
    <x v="5"/>
    <x v="3"/>
    <n v="1918751930"/>
  </r>
  <r>
    <x v="5"/>
    <x v="9"/>
    <n v="1139392520"/>
  </r>
  <r>
    <x v="5"/>
    <x v="1"/>
    <n v="1133025100"/>
  </r>
  <r>
    <x v="5"/>
    <x v="35"/>
    <n v="567199200"/>
  </r>
  <r>
    <x v="5"/>
    <x v="16"/>
    <n v="330159240"/>
  </r>
  <r>
    <x v="5"/>
    <x v="8"/>
    <n v="11727310"/>
  </r>
  <r>
    <x v="6"/>
    <x v="1"/>
    <n v="170431400"/>
  </r>
  <r>
    <x v="7"/>
    <x v="34"/>
    <n v="51090797670"/>
  </r>
  <r>
    <x v="7"/>
    <x v="1"/>
    <n v="37587600"/>
  </r>
  <r>
    <x v="8"/>
    <x v="35"/>
    <n v="58806059240"/>
  </r>
  <r>
    <x v="8"/>
    <x v="13"/>
    <n v="4105416410"/>
  </r>
  <r>
    <x v="8"/>
    <x v="3"/>
    <n v="1122760430"/>
  </r>
  <r>
    <x v="8"/>
    <x v="1"/>
    <n v="862641740"/>
  </r>
  <r>
    <x v="8"/>
    <x v="9"/>
    <n v="210030750"/>
  </r>
  <r>
    <x v="8"/>
    <x v="8"/>
    <n v="208342420"/>
  </r>
  <r>
    <x v="8"/>
    <x v="2"/>
    <n v="65693990"/>
  </r>
  <r>
    <x v="8"/>
    <x v="36"/>
    <n v="1910000"/>
  </r>
  <r>
    <x v="8"/>
    <x v="10"/>
    <n v="230000"/>
  </r>
  <r>
    <x v="9"/>
    <x v="0"/>
    <n v="5069423940"/>
  </r>
  <r>
    <x v="9"/>
    <x v="35"/>
    <n v="1259130480"/>
  </r>
  <r>
    <x v="9"/>
    <x v="3"/>
    <n v="308679480"/>
  </r>
  <r>
    <x v="9"/>
    <x v="9"/>
    <n v="31238630"/>
  </r>
  <r>
    <x v="9"/>
    <x v="1"/>
    <n v="8132190"/>
  </r>
  <r>
    <x v="9"/>
    <x v="8"/>
    <n v="4459790"/>
  </r>
  <r>
    <x v="9"/>
    <x v="10"/>
    <n v="170000"/>
  </r>
  <r>
    <x v="10"/>
    <x v="20"/>
    <n v="389146581680"/>
  </r>
  <r>
    <x v="10"/>
    <x v="37"/>
    <n v="295577274790"/>
  </r>
  <r>
    <x v="10"/>
    <x v="38"/>
    <n v="65384144700"/>
  </r>
  <r>
    <x v="10"/>
    <x v="11"/>
    <n v="64711598050"/>
  </r>
  <r>
    <x v="10"/>
    <x v="39"/>
    <n v="54681015820"/>
  </r>
  <r>
    <x v="10"/>
    <x v="40"/>
    <n v="53909873300"/>
  </r>
  <r>
    <x v="10"/>
    <x v="31"/>
    <n v="48290657410"/>
  </r>
  <r>
    <x v="10"/>
    <x v="3"/>
    <n v="31625204920"/>
  </r>
  <r>
    <x v="10"/>
    <x v="41"/>
    <n v="25140488530"/>
  </r>
  <r>
    <x v="10"/>
    <x v="14"/>
    <n v="24190756550"/>
  </r>
  <r>
    <x v="10"/>
    <x v="2"/>
    <n v="21263006170"/>
  </r>
  <r>
    <x v="10"/>
    <x v="10"/>
    <n v="20375539930"/>
  </r>
  <r>
    <x v="10"/>
    <x v="42"/>
    <n v="7364738600"/>
  </r>
  <r>
    <x v="10"/>
    <x v="32"/>
    <n v="7265041300"/>
  </r>
  <r>
    <x v="10"/>
    <x v="43"/>
    <n v="6044171000"/>
  </r>
  <r>
    <x v="10"/>
    <x v="9"/>
    <n v="5791058700"/>
  </r>
  <r>
    <x v="10"/>
    <x v="44"/>
    <n v="4672590500"/>
  </r>
  <r>
    <x v="10"/>
    <x v="30"/>
    <n v="4295033850"/>
  </r>
  <r>
    <x v="10"/>
    <x v="45"/>
    <n v="3794731490"/>
  </r>
  <r>
    <x v="10"/>
    <x v="13"/>
    <n v="2977012210"/>
  </r>
  <r>
    <x v="10"/>
    <x v="15"/>
    <n v="2972169270"/>
  </r>
  <r>
    <x v="10"/>
    <x v="18"/>
    <n v="2586000100"/>
  </r>
  <r>
    <x v="10"/>
    <x v="23"/>
    <n v="2532780900"/>
  </r>
  <r>
    <x v="10"/>
    <x v="46"/>
    <n v="2316595300"/>
  </r>
  <r>
    <x v="10"/>
    <x v="47"/>
    <n v="2182277260"/>
  </r>
  <r>
    <x v="10"/>
    <x v="48"/>
    <n v="2076341400"/>
  </r>
  <r>
    <x v="10"/>
    <x v="49"/>
    <n v="2055014460"/>
  </r>
  <r>
    <x v="10"/>
    <x v="50"/>
    <n v="1600912640"/>
  </r>
  <r>
    <x v="10"/>
    <x v="51"/>
    <n v="1566017600"/>
  </r>
  <r>
    <x v="10"/>
    <x v="52"/>
    <n v="757702890"/>
  </r>
  <r>
    <x v="10"/>
    <x v="1"/>
    <n v="625281270"/>
  </r>
  <r>
    <x v="10"/>
    <x v="53"/>
    <n v="541154400"/>
  </r>
  <r>
    <x v="10"/>
    <x v="54"/>
    <n v="404770150"/>
  </r>
  <r>
    <x v="10"/>
    <x v="55"/>
    <n v="253650560"/>
  </r>
  <r>
    <x v="10"/>
    <x v="56"/>
    <n v="200390160"/>
  </r>
  <r>
    <x v="10"/>
    <x v="8"/>
    <n v="140211400"/>
  </r>
  <r>
    <x v="10"/>
    <x v="12"/>
    <n v="125701800"/>
  </r>
  <r>
    <x v="10"/>
    <x v="57"/>
    <n v="115057600"/>
  </r>
  <r>
    <x v="10"/>
    <x v="17"/>
    <n v="52783710"/>
  </r>
  <r>
    <x v="10"/>
    <x v="58"/>
    <n v="45277900"/>
  </r>
  <r>
    <x v="10"/>
    <x v="36"/>
    <n v="42400000"/>
  </r>
  <r>
    <x v="10"/>
    <x v="59"/>
    <n v="33500000"/>
  </r>
  <r>
    <x v="10"/>
    <x v="60"/>
    <n v="30270300"/>
  </r>
  <r>
    <x v="10"/>
    <x v="61"/>
    <n v="24959200"/>
  </r>
  <r>
    <x v="10"/>
    <x v="25"/>
    <n v="13158000"/>
  </r>
  <r>
    <x v="10"/>
    <x v="28"/>
    <n v="12714400"/>
  </r>
  <r>
    <x v="10"/>
    <x v="33"/>
    <n v="1700000"/>
  </r>
  <r>
    <x v="10"/>
    <x v="62"/>
    <n v="986500"/>
  </r>
  <r>
    <x v="11"/>
    <x v="63"/>
    <n v="259253398090"/>
  </r>
  <r>
    <x v="11"/>
    <x v="64"/>
    <n v="233855549040"/>
  </r>
  <r>
    <x v="11"/>
    <x v="65"/>
    <n v="220328332760"/>
  </r>
  <r>
    <x v="11"/>
    <x v="7"/>
    <n v="139720995230"/>
  </r>
  <r>
    <x v="11"/>
    <x v="66"/>
    <n v="137125873040"/>
  </r>
  <r>
    <x v="11"/>
    <x v="67"/>
    <n v="98612724340"/>
  </r>
  <r>
    <x v="11"/>
    <x v="68"/>
    <n v="90460946990"/>
  </r>
  <r>
    <x v="11"/>
    <x v="28"/>
    <n v="89443919760"/>
  </r>
  <r>
    <x v="11"/>
    <x v="62"/>
    <n v="47967118320"/>
  </r>
  <r>
    <x v="11"/>
    <x v="69"/>
    <n v="41353531120"/>
  </r>
  <r>
    <x v="11"/>
    <x v="70"/>
    <n v="10398795130"/>
  </r>
  <r>
    <x v="11"/>
    <x v="71"/>
    <n v="5241155100"/>
  </r>
  <r>
    <x v="11"/>
    <x v="3"/>
    <n v="5002368210"/>
  </r>
  <r>
    <x v="11"/>
    <x v="72"/>
    <n v="1747206700"/>
  </r>
  <r>
    <x v="11"/>
    <x v="9"/>
    <n v="1272724410"/>
  </r>
  <r>
    <x v="11"/>
    <x v="1"/>
    <n v="810917600"/>
  </r>
  <r>
    <x v="11"/>
    <x v="73"/>
    <n v="579476300"/>
  </r>
  <r>
    <x v="11"/>
    <x v="2"/>
    <n v="575197980"/>
  </r>
  <r>
    <x v="11"/>
    <x v="74"/>
    <n v="141603400"/>
  </r>
  <r>
    <x v="11"/>
    <x v="8"/>
    <n v="96264230"/>
  </r>
  <r>
    <x v="11"/>
    <x v="10"/>
    <n v="47418580"/>
  </r>
  <r>
    <x v="11"/>
    <x v="55"/>
    <n v="24527680"/>
  </r>
  <r>
    <x v="11"/>
    <x v="53"/>
    <n v="6350600"/>
  </r>
  <r>
    <x v="12"/>
    <x v="75"/>
    <n v="127993612870"/>
  </r>
  <r>
    <x v="12"/>
    <x v="34"/>
    <n v="36386183260"/>
  </r>
  <r>
    <x v="12"/>
    <x v="2"/>
    <n v="19630483950"/>
  </r>
  <r>
    <x v="12"/>
    <x v="27"/>
    <n v="8222730910"/>
  </r>
  <r>
    <x v="12"/>
    <x v="16"/>
    <n v="7050893910"/>
  </r>
  <r>
    <x v="12"/>
    <x v="1"/>
    <n v="6593757470"/>
  </r>
  <r>
    <x v="12"/>
    <x v="3"/>
    <n v="6113562880"/>
  </r>
  <r>
    <x v="12"/>
    <x v="61"/>
    <n v="3717250310"/>
  </r>
  <r>
    <x v="12"/>
    <x v="13"/>
    <n v="3423543600"/>
  </r>
  <r>
    <x v="12"/>
    <x v="9"/>
    <n v="1321391530"/>
  </r>
  <r>
    <x v="12"/>
    <x v="0"/>
    <n v="795155300"/>
  </r>
  <r>
    <x v="12"/>
    <x v="62"/>
    <n v="355954730"/>
  </r>
  <r>
    <x v="12"/>
    <x v="51"/>
    <n v="349081900"/>
  </r>
  <r>
    <x v="12"/>
    <x v="8"/>
    <n v="182961490"/>
  </r>
  <r>
    <x v="12"/>
    <x v="10"/>
    <n v="31354250"/>
  </r>
  <r>
    <x v="12"/>
    <x v="33"/>
    <n v="3977410"/>
  </r>
  <r>
    <x v="13"/>
    <x v="18"/>
    <n v="78868608940"/>
  </r>
  <r>
    <x v="13"/>
    <x v="12"/>
    <n v="69764695400"/>
  </r>
  <r>
    <x v="13"/>
    <x v="10"/>
    <n v="14967034720"/>
  </r>
  <r>
    <x v="13"/>
    <x v="7"/>
    <n v="5792486940"/>
  </r>
  <r>
    <x v="13"/>
    <x v="3"/>
    <n v="3967426970"/>
  </r>
  <r>
    <x v="13"/>
    <x v="76"/>
    <n v="1990700210"/>
  </r>
  <r>
    <x v="13"/>
    <x v="22"/>
    <n v="1887006800"/>
  </r>
  <r>
    <x v="13"/>
    <x v="73"/>
    <n v="1595822700"/>
  </r>
  <r>
    <x v="13"/>
    <x v="24"/>
    <n v="1121970280"/>
  </r>
  <r>
    <x v="13"/>
    <x v="2"/>
    <n v="848719870"/>
  </r>
  <r>
    <x v="13"/>
    <x v="8"/>
    <n v="625026200"/>
  </r>
  <r>
    <x v="13"/>
    <x v="9"/>
    <n v="183789570"/>
  </r>
  <r>
    <x v="13"/>
    <x v="13"/>
    <n v="149482560"/>
  </r>
  <r>
    <x v="13"/>
    <x v="77"/>
    <n v="86441100"/>
  </r>
  <r>
    <x v="13"/>
    <x v="36"/>
    <n v="62255000"/>
  </r>
  <r>
    <x v="13"/>
    <x v="29"/>
    <n v="32856000"/>
  </r>
  <r>
    <x v="13"/>
    <x v="55"/>
    <n v="20112000"/>
  </r>
  <r>
    <x v="13"/>
    <x v="33"/>
    <n v="3976690"/>
  </r>
  <r>
    <x v="14"/>
    <x v="8"/>
    <n v="198152917110"/>
  </r>
  <r>
    <x v="14"/>
    <x v="3"/>
    <n v="3240015660"/>
  </r>
  <r>
    <x v="14"/>
    <x v="2"/>
    <n v="2111144530"/>
  </r>
  <r>
    <x v="14"/>
    <x v="78"/>
    <n v="897802110"/>
  </r>
  <r>
    <x v="14"/>
    <x v="1"/>
    <n v="856592800"/>
  </r>
  <r>
    <x v="14"/>
    <x v="79"/>
    <n v="787534820"/>
  </r>
  <r>
    <x v="14"/>
    <x v="27"/>
    <n v="676461640"/>
  </r>
  <r>
    <x v="14"/>
    <x v="10"/>
    <n v="570008070"/>
  </r>
  <r>
    <x v="14"/>
    <x v="18"/>
    <n v="441391510"/>
  </r>
  <r>
    <x v="14"/>
    <x v="23"/>
    <n v="434768850"/>
  </r>
  <r>
    <x v="14"/>
    <x v="80"/>
    <n v="373247800"/>
  </r>
  <r>
    <x v="14"/>
    <x v="14"/>
    <n v="119618090"/>
  </r>
  <r>
    <x v="14"/>
    <x v="9"/>
    <n v="112685730"/>
  </r>
  <r>
    <x v="14"/>
    <x v="81"/>
    <n v="21996840"/>
  </r>
  <r>
    <x v="14"/>
    <x v="33"/>
    <n v="2569850"/>
  </r>
  <r>
    <x v="15"/>
    <x v="59"/>
    <n v="38287022310"/>
  </r>
  <r>
    <x v="15"/>
    <x v="46"/>
    <n v="15555259870"/>
  </r>
  <r>
    <x v="15"/>
    <x v="82"/>
    <n v="6974162130"/>
  </r>
  <r>
    <x v="15"/>
    <x v="83"/>
    <n v="1939948910"/>
  </r>
  <r>
    <x v="15"/>
    <x v="32"/>
    <n v="1220802200"/>
  </r>
  <r>
    <x v="15"/>
    <x v="18"/>
    <n v="1114385700"/>
  </r>
  <r>
    <x v="15"/>
    <x v="3"/>
    <n v="1093240750"/>
  </r>
  <r>
    <x v="15"/>
    <x v="37"/>
    <n v="612603200"/>
  </r>
  <r>
    <x v="15"/>
    <x v="48"/>
    <n v="577884000"/>
  </r>
  <r>
    <x v="15"/>
    <x v="2"/>
    <n v="522994500"/>
  </r>
  <r>
    <x v="15"/>
    <x v="9"/>
    <n v="233905340"/>
  </r>
  <r>
    <x v="15"/>
    <x v="56"/>
    <n v="206992300"/>
  </r>
  <r>
    <x v="15"/>
    <x v="8"/>
    <n v="66855440"/>
  </r>
  <r>
    <x v="15"/>
    <x v="22"/>
    <n v="48800000"/>
  </r>
  <r>
    <x v="15"/>
    <x v="10"/>
    <n v="7466950"/>
  </r>
  <r>
    <x v="15"/>
    <x v="14"/>
    <n v="5064000"/>
  </r>
  <r>
    <x v="16"/>
    <x v="12"/>
    <n v="108661215150"/>
  </r>
  <r>
    <x v="16"/>
    <x v="3"/>
    <n v="31337464120"/>
  </r>
  <r>
    <x v="16"/>
    <x v="82"/>
    <n v="15118614600"/>
  </r>
  <r>
    <x v="16"/>
    <x v="72"/>
    <n v="1733627900"/>
  </r>
  <r>
    <x v="16"/>
    <x v="2"/>
    <n v="715672610"/>
  </r>
  <r>
    <x v="16"/>
    <x v="53"/>
    <n v="342102200"/>
  </r>
  <r>
    <x v="16"/>
    <x v="84"/>
    <n v="233545900"/>
  </r>
  <r>
    <x v="16"/>
    <x v="8"/>
    <n v="122942820"/>
  </r>
  <r>
    <x v="16"/>
    <x v="14"/>
    <n v="96697100"/>
  </r>
  <r>
    <x v="16"/>
    <x v="9"/>
    <n v="69362360"/>
  </r>
  <r>
    <x v="16"/>
    <x v="10"/>
    <n v="32941460"/>
  </r>
  <r>
    <x v="16"/>
    <x v="13"/>
    <n v="30028490"/>
  </r>
  <r>
    <x v="16"/>
    <x v="18"/>
    <n v="5931500"/>
  </r>
  <r>
    <x v="17"/>
    <x v="17"/>
    <n v="113412463300"/>
  </r>
  <r>
    <x v="17"/>
    <x v="49"/>
    <n v="65576448190"/>
  </r>
  <r>
    <x v="17"/>
    <x v="85"/>
    <n v="62918793350"/>
  </r>
  <r>
    <x v="17"/>
    <x v="11"/>
    <n v="22208276370"/>
  </r>
  <r>
    <x v="17"/>
    <x v="31"/>
    <n v="2355065430"/>
  </r>
  <r>
    <x v="17"/>
    <x v="46"/>
    <n v="1992338350"/>
  </r>
  <r>
    <x v="17"/>
    <x v="3"/>
    <n v="744848160"/>
  </r>
  <r>
    <x v="17"/>
    <x v="9"/>
    <n v="645137270"/>
  </r>
  <r>
    <x v="17"/>
    <x v="2"/>
    <n v="599183570"/>
  </r>
  <r>
    <x v="17"/>
    <x v="45"/>
    <n v="461829600"/>
  </r>
  <r>
    <x v="17"/>
    <x v="56"/>
    <n v="295324280"/>
  </r>
  <r>
    <x v="17"/>
    <x v="8"/>
    <n v="293771680"/>
  </r>
  <r>
    <x v="17"/>
    <x v="72"/>
    <n v="213478900"/>
  </r>
  <r>
    <x v="17"/>
    <x v="10"/>
    <n v="80789460"/>
  </r>
  <r>
    <x v="17"/>
    <x v="86"/>
    <n v="34905320"/>
  </r>
  <r>
    <x v="17"/>
    <x v="14"/>
    <n v="18567600"/>
  </r>
  <r>
    <x v="17"/>
    <x v="87"/>
    <n v="7950000"/>
  </r>
  <r>
    <x v="17"/>
    <x v="77"/>
    <n v="6999800"/>
  </r>
  <r>
    <x v="18"/>
    <x v="38"/>
    <n v="211258413990"/>
  </r>
  <r>
    <x v="18"/>
    <x v="14"/>
    <n v="156658385800"/>
  </r>
  <r>
    <x v="18"/>
    <x v="43"/>
    <n v="148256367600"/>
  </r>
  <r>
    <x v="18"/>
    <x v="40"/>
    <n v="141048741050"/>
  </r>
  <r>
    <x v="18"/>
    <x v="58"/>
    <n v="79947185550"/>
  </r>
  <r>
    <x v="18"/>
    <x v="72"/>
    <n v="67246557590"/>
  </r>
  <r>
    <x v="18"/>
    <x v="22"/>
    <n v="49210216820"/>
  </r>
  <r>
    <x v="18"/>
    <x v="88"/>
    <n v="44722352020"/>
  </r>
  <r>
    <x v="18"/>
    <x v="53"/>
    <n v="32146936720"/>
  </r>
  <r>
    <x v="18"/>
    <x v="23"/>
    <n v="32127549370"/>
  </r>
  <r>
    <x v="18"/>
    <x v="51"/>
    <n v="26115862510"/>
  </r>
  <r>
    <x v="18"/>
    <x v="89"/>
    <n v="14647514760"/>
  </r>
  <r>
    <x v="18"/>
    <x v="90"/>
    <n v="13692663110"/>
  </r>
  <r>
    <x v="18"/>
    <x v="25"/>
    <n v="10362218200"/>
  </r>
  <r>
    <x v="18"/>
    <x v="6"/>
    <n v="9424804200"/>
  </r>
  <r>
    <x v="18"/>
    <x v="48"/>
    <n v="8900732300"/>
  </r>
  <r>
    <x v="18"/>
    <x v="3"/>
    <n v="7884112050"/>
  </r>
  <r>
    <x v="18"/>
    <x v="73"/>
    <n v="6076990880"/>
  </r>
  <r>
    <x v="18"/>
    <x v="26"/>
    <n v="4954236800"/>
  </r>
  <r>
    <x v="18"/>
    <x v="9"/>
    <n v="4479602840"/>
  </r>
  <r>
    <x v="18"/>
    <x v="60"/>
    <n v="3749487200"/>
  </r>
  <r>
    <x v="18"/>
    <x v="32"/>
    <n v="2125418470"/>
  </r>
  <r>
    <x v="18"/>
    <x v="91"/>
    <n v="1728601800"/>
  </r>
  <r>
    <x v="18"/>
    <x v="81"/>
    <n v="1386835330"/>
  </r>
  <r>
    <x v="18"/>
    <x v="27"/>
    <n v="1259080550"/>
  </r>
  <r>
    <x v="18"/>
    <x v="2"/>
    <n v="507964940"/>
  </r>
  <r>
    <x v="18"/>
    <x v="92"/>
    <n v="150660420"/>
  </r>
  <r>
    <x v="18"/>
    <x v="8"/>
    <n v="101475850"/>
  </r>
  <r>
    <x v="18"/>
    <x v="68"/>
    <n v="87398770"/>
  </r>
  <r>
    <x v="18"/>
    <x v="10"/>
    <n v="9165800"/>
  </r>
  <r>
    <x v="18"/>
    <x v="1"/>
    <n v="6996000"/>
  </r>
  <r>
    <x v="18"/>
    <x v="33"/>
    <n v="5097800"/>
  </r>
  <r>
    <x v="19"/>
    <x v="23"/>
    <n v="77094991920"/>
  </r>
  <r>
    <x v="19"/>
    <x v="48"/>
    <n v="19285224750"/>
  </r>
  <r>
    <x v="19"/>
    <x v="73"/>
    <n v="14302049920"/>
  </r>
  <r>
    <x v="19"/>
    <x v="91"/>
    <n v="8758311430"/>
  </r>
  <r>
    <x v="19"/>
    <x v="3"/>
    <n v="5979438920"/>
  </r>
  <r>
    <x v="19"/>
    <x v="81"/>
    <n v="5929998950"/>
  </r>
  <r>
    <x v="19"/>
    <x v="93"/>
    <n v="5362008300"/>
  </r>
  <r>
    <x v="19"/>
    <x v="27"/>
    <n v="3466046380"/>
  </r>
  <r>
    <x v="19"/>
    <x v="9"/>
    <n v="2909147940"/>
  </r>
  <r>
    <x v="19"/>
    <x v="72"/>
    <n v="2531264000"/>
  </r>
  <r>
    <x v="19"/>
    <x v="51"/>
    <n v="2394449310"/>
  </r>
  <r>
    <x v="19"/>
    <x v="32"/>
    <n v="2142050270"/>
  </r>
  <r>
    <x v="19"/>
    <x v="38"/>
    <n v="1754102170"/>
  </r>
  <r>
    <x v="19"/>
    <x v="21"/>
    <n v="1396404900"/>
  </r>
  <r>
    <x v="19"/>
    <x v="40"/>
    <n v="1271382600"/>
  </r>
  <r>
    <x v="19"/>
    <x v="4"/>
    <n v="940956200"/>
  </r>
  <r>
    <x v="19"/>
    <x v="43"/>
    <n v="734355180"/>
  </r>
  <r>
    <x v="19"/>
    <x v="2"/>
    <n v="501030080"/>
  </r>
  <r>
    <x v="19"/>
    <x v="92"/>
    <n v="431949720"/>
  </r>
  <r>
    <x v="19"/>
    <x v="33"/>
    <n v="102251960"/>
  </r>
  <r>
    <x v="19"/>
    <x v="8"/>
    <n v="76458000"/>
  </r>
  <r>
    <x v="19"/>
    <x v="22"/>
    <n v="67844200"/>
  </r>
  <r>
    <x v="19"/>
    <x v="10"/>
    <n v="67745860"/>
  </r>
  <r>
    <x v="19"/>
    <x v="14"/>
    <n v="2879900"/>
  </r>
  <r>
    <x v="20"/>
    <x v="79"/>
    <n v="3223770800200"/>
  </r>
  <r>
    <x v="20"/>
    <x v="80"/>
    <n v="282693986400"/>
  </r>
  <r>
    <x v="20"/>
    <x v="85"/>
    <n v="65669019500"/>
  </r>
  <r>
    <x v="20"/>
    <x v="3"/>
    <n v="29698526280"/>
  </r>
  <r>
    <x v="20"/>
    <x v="44"/>
    <n v="17766335000"/>
  </r>
  <r>
    <x v="20"/>
    <x v="94"/>
    <n v="16156413340"/>
  </r>
  <r>
    <x v="20"/>
    <x v="58"/>
    <n v="10670479220"/>
  </r>
  <r>
    <x v="20"/>
    <x v="62"/>
    <n v="8899166060"/>
  </r>
  <r>
    <x v="20"/>
    <x v="67"/>
    <n v="5472715760"/>
  </r>
  <r>
    <x v="20"/>
    <x v="78"/>
    <n v="4072602920"/>
  </r>
  <r>
    <x v="20"/>
    <x v="88"/>
    <n v="3599808040"/>
  </r>
  <r>
    <x v="20"/>
    <x v="71"/>
    <n v="3527079410"/>
  </r>
  <r>
    <x v="20"/>
    <x v="10"/>
    <n v="2980875620"/>
  </r>
  <r>
    <x v="20"/>
    <x v="55"/>
    <n v="2904249380"/>
  </r>
  <r>
    <x v="20"/>
    <x v="48"/>
    <n v="1594368800"/>
  </r>
  <r>
    <x v="20"/>
    <x v="30"/>
    <n v="1207789920"/>
  </r>
  <r>
    <x v="20"/>
    <x v="63"/>
    <n v="1198375040"/>
  </r>
  <r>
    <x v="20"/>
    <x v="23"/>
    <n v="718138000"/>
  </r>
  <r>
    <x v="20"/>
    <x v="43"/>
    <n v="587852570"/>
  </r>
  <r>
    <x v="20"/>
    <x v="7"/>
    <n v="273825110"/>
  </r>
  <r>
    <x v="20"/>
    <x v="28"/>
    <n v="127798570"/>
  </r>
  <r>
    <x v="20"/>
    <x v="95"/>
    <n v="48712300"/>
  </r>
  <r>
    <x v="20"/>
    <x v="8"/>
    <n v="20247200"/>
  </r>
  <r>
    <x v="20"/>
    <x v="50"/>
    <n v="3817700"/>
  </r>
  <r>
    <x v="21"/>
    <x v="96"/>
    <n v="1579260379510"/>
  </r>
  <r>
    <x v="21"/>
    <x v="95"/>
    <n v="716227572780"/>
  </r>
  <r>
    <x v="21"/>
    <x v="9"/>
    <n v="260627707940"/>
  </r>
  <r>
    <x v="21"/>
    <x v="54"/>
    <n v="64635336040"/>
  </r>
  <r>
    <x v="21"/>
    <x v="52"/>
    <n v="56593356890"/>
  </r>
  <r>
    <x v="21"/>
    <x v="97"/>
    <n v="35279033490"/>
  </r>
  <r>
    <x v="21"/>
    <x v="33"/>
    <n v="22793055590"/>
  </r>
  <r>
    <x v="21"/>
    <x v="98"/>
    <n v="18942658000"/>
  </r>
  <r>
    <x v="21"/>
    <x v="47"/>
    <n v="6463076870"/>
  </r>
  <r>
    <x v="21"/>
    <x v="44"/>
    <n v="3385462500"/>
  </r>
  <r>
    <x v="21"/>
    <x v="3"/>
    <n v="2776021170"/>
  </r>
  <r>
    <x v="21"/>
    <x v="99"/>
    <n v="1671501090"/>
  </r>
  <r>
    <x v="21"/>
    <x v="2"/>
    <n v="676784660"/>
  </r>
  <r>
    <x v="21"/>
    <x v="100"/>
    <n v="233725800"/>
  </r>
  <r>
    <x v="21"/>
    <x v="8"/>
    <n v="36083750"/>
  </r>
  <r>
    <x v="21"/>
    <x v="55"/>
    <n v="30790930"/>
  </r>
  <r>
    <x v="21"/>
    <x v="30"/>
    <n v="25654990"/>
  </r>
  <r>
    <x v="21"/>
    <x v="10"/>
    <n v="15671160"/>
  </r>
  <r>
    <x v="21"/>
    <x v="101"/>
    <n v="13277240"/>
  </r>
  <r>
    <x v="21"/>
    <x v="36"/>
    <n v="6900700"/>
  </r>
  <r>
    <x v="21"/>
    <x v="22"/>
    <n v="4338600"/>
  </r>
  <r>
    <x v="22"/>
    <x v="20"/>
    <n v="440352938930"/>
  </r>
  <r>
    <x v="22"/>
    <x v="3"/>
    <n v="28148985640"/>
  </r>
  <r>
    <x v="22"/>
    <x v="10"/>
    <n v="17674436360"/>
  </r>
  <r>
    <x v="22"/>
    <x v="94"/>
    <n v="12522692320"/>
  </r>
  <r>
    <x v="22"/>
    <x v="24"/>
    <n v="10472080980"/>
  </r>
  <r>
    <x v="22"/>
    <x v="102"/>
    <n v="8352733550"/>
  </r>
  <r>
    <x v="22"/>
    <x v="50"/>
    <n v="5968880640"/>
  </r>
  <r>
    <x v="22"/>
    <x v="13"/>
    <n v="5018757100"/>
  </r>
  <r>
    <x v="22"/>
    <x v="21"/>
    <n v="968934300"/>
  </r>
  <r>
    <x v="22"/>
    <x v="2"/>
    <n v="792739440"/>
  </r>
  <r>
    <x v="22"/>
    <x v="8"/>
    <n v="221555190"/>
  </r>
  <r>
    <x v="22"/>
    <x v="26"/>
    <n v="159880900"/>
  </r>
  <r>
    <x v="22"/>
    <x v="9"/>
    <n v="77751910"/>
  </r>
  <r>
    <x v="22"/>
    <x v="30"/>
    <n v="39137320"/>
  </r>
  <r>
    <x v="23"/>
    <x v="14"/>
    <n v="78653356080"/>
  </r>
  <r>
    <x v="23"/>
    <x v="47"/>
    <n v="58831494740"/>
  </r>
  <r>
    <x v="23"/>
    <x v="3"/>
    <n v="33212142560"/>
  </r>
  <r>
    <x v="23"/>
    <x v="44"/>
    <n v="10733389270"/>
  </r>
  <r>
    <x v="23"/>
    <x v="57"/>
    <n v="6125612680"/>
  </r>
  <r>
    <x v="23"/>
    <x v="92"/>
    <n v="4438028340"/>
  </r>
  <r>
    <x v="23"/>
    <x v="28"/>
    <n v="3589673770"/>
  </r>
  <r>
    <x v="23"/>
    <x v="2"/>
    <n v="2280921360"/>
  </r>
  <r>
    <x v="23"/>
    <x v="48"/>
    <n v="1632039600"/>
  </r>
  <r>
    <x v="23"/>
    <x v="73"/>
    <n v="1618154030"/>
  </r>
  <r>
    <x v="23"/>
    <x v="36"/>
    <n v="1458040100"/>
  </r>
  <r>
    <x v="23"/>
    <x v="23"/>
    <n v="1419758360"/>
  </r>
  <r>
    <x v="23"/>
    <x v="77"/>
    <n v="391472960"/>
  </r>
  <r>
    <x v="23"/>
    <x v="90"/>
    <n v="312800600"/>
  </r>
  <r>
    <x v="23"/>
    <x v="32"/>
    <n v="119576600"/>
  </r>
  <r>
    <x v="23"/>
    <x v="9"/>
    <n v="90847730"/>
  </r>
  <r>
    <x v="23"/>
    <x v="8"/>
    <n v="40556630"/>
  </r>
  <r>
    <x v="23"/>
    <x v="81"/>
    <n v="19958800"/>
  </r>
  <r>
    <x v="23"/>
    <x v="103"/>
    <n v="4128500"/>
  </r>
  <r>
    <x v="23"/>
    <x v="10"/>
    <n v="2796500"/>
  </r>
  <r>
    <x v="23"/>
    <x v="34"/>
    <n v="419800"/>
  </r>
  <r>
    <x v="24"/>
    <x v="104"/>
    <n v="1409252616400"/>
  </r>
  <r>
    <x v="24"/>
    <x v="37"/>
    <n v="442248529100"/>
  </r>
  <r>
    <x v="24"/>
    <x v="29"/>
    <n v="365009447320"/>
  </r>
  <r>
    <x v="24"/>
    <x v="13"/>
    <n v="36759964730"/>
  </r>
  <r>
    <x v="24"/>
    <x v="3"/>
    <n v="31323829680"/>
  </r>
  <r>
    <x v="24"/>
    <x v="96"/>
    <n v="30289392360"/>
  </r>
  <r>
    <x v="24"/>
    <x v="20"/>
    <n v="13278465500"/>
  </r>
  <r>
    <x v="24"/>
    <x v="95"/>
    <n v="6061515960"/>
  </r>
  <r>
    <x v="24"/>
    <x v="14"/>
    <n v="5883342820"/>
  </r>
  <r>
    <x v="24"/>
    <x v="52"/>
    <n v="5831440010"/>
  </r>
  <r>
    <x v="24"/>
    <x v="22"/>
    <n v="3709558500"/>
  </r>
  <r>
    <x v="24"/>
    <x v="47"/>
    <n v="2530802700"/>
  </r>
  <r>
    <x v="24"/>
    <x v="26"/>
    <n v="2501254720"/>
  </r>
  <r>
    <x v="24"/>
    <x v="9"/>
    <n v="2176330690"/>
  </r>
  <r>
    <x v="24"/>
    <x v="12"/>
    <n v="2025841760"/>
  </r>
  <r>
    <x v="24"/>
    <x v="43"/>
    <n v="1656815800"/>
  </r>
  <r>
    <x v="24"/>
    <x v="8"/>
    <n v="1570777170"/>
  </r>
  <r>
    <x v="24"/>
    <x v="15"/>
    <n v="1311625700"/>
  </r>
  <r>
    <x v="24"/>
    <x v="2"/>
    <n v="1230749920"/>
  </r>
  <r>
    <x v="24"/>
    <x v="1"/>
    <n v="1222296680"/>
  </r>
  <r>
    <x v="24"/>
    <x v="10"/>
    <n v="1000406250"/>
  </r>
  <r>
    <x v="24"/>
    <x v="5"/>
    <n v="995638300"/>
  </r>
  <r>
    <x v="24"/>
    <x v="18"/>
    <n v="847122300"/>
  </r>
  <r>
    <x v="24"/>
    <x v="27"/>
    <n v="790139430"/>
  </r>
  <r>
    <x v="24"/>
    <x v="21"/>
    <n v="621731990"/>
  </r>
  <r>
    <x v="24"/>
    <x v="90"/>
    <n v="386618800"/>
  </r>
  <r>
    <x v="24"/>
    <x v="77"/>
    <n v="364542710"/>
  </r>
  <r>
    <x v="24"/>
    <x v="73"/>
    <n v="292323000"/>
  </r>
  <r>
    <x v="24"/>
    <x v="16"/>
    <n v="102180000"/>
  </r>
  <r>
    <x v="24"/>
    <x v="101"/>
    <n v="42791910"/>
  </r>
  <r>
    <x v="24"/>
    <x v="23"/>
    <n v="7800000"/>
  </r>
  <r>
    <x v="24"/>
    <x v="76"/>
    <n v="3999500"/>
  </r>
  <r>
    <x v="25"/>
    <x v="25"/>
    <n v="21325589660"/>
  </r>
  <r>
    <x v="25"/>
    <x v="51"/>
    <n v="18663261930"/>
  </r>
  <r>
    <x v="25"/>
    <x v="72"/>
    <n v="11302903130"/>
  </r>
  <r>
    <x v="25"/>
    <x v="26"/>
    <n v="4458602190"/>
  </r>
  <r>
    <x v="25"/>
    <x v="3"/>
    <n v="3573296540"/>
  </r>
  <r>
    <x v="25"/>
    <x v="93"/>
    <n v="3130660290"/>
  </r>
  <r>
    <x v="25"/>
    <x v="68"/>
    <n v="1096634900"/>
  </r>
  <r>
    <x v="25"/>
    <x v="2"/>
    <n v="536922580"/>
  </r>
  <r>
    <x v="25"/>
    <x v="14"/>
    <n v="475095800"/>
  </r>
  <r>
    <x v="25"/>
    <x v="10"/>
    <n v="339023700"/>
  </r>
  <r>
    <x v="25"/>
    <x v="9"/>
    <n v="44730290"/>
  </r>
  <r>
    <x v="25"/>
    <x v="8"/>
    <n v="12271700"/>
  </r>
  <r>
    <x v="26"/>
    <x v="42"/>
    <n v="94666512560"/>
  </r>
  <r>
    <x v="26"/>
    <x v="10"/>
    <n v="13981643630"/>
  </r>
  <r>
    <x v="26"/>
    <x v="13"/>
    <n v="9187560300"/>
  </r>
  <r>
    <x v="26"/>
    <x v="18"/>
    <n v="8432815400"/>
  </r>
  <r>
    <x v="26"/>
    <x v="36"/>
    <n v="1565669280"/>
  </r>
  <r>
    <x v="26"/>
    <x v="2"/>
    <n v="1482922890"/>
  </r>
  <r>
    <x v="26"/>
    <x v="9"/>
    <n v="1455684590"/>
  </r>
  <r>
    <x v="26"/>
    <x v="3"/>
    <n v="1367215090"/>
  </r>
  <r>
    <x v="26"/>
    <x v="1"/>
    <n v="1278738180"/>
  </r>
  <r>
    <x v="26"/>
    <x v="12"/>
    <n v="277253930"/>
  </r>
  <r>
    <x v="26"/>
    <x v="58"/>
    <n v="224331000"/>
  </r>
  <r>
    <x v="26"/>
    <x v="8"/>
    <n v="105599610"/>
  </r>
  <r>
    <x v="26"/>
    <x v="28"/>
    <n v="89111800"/>
  </r>
  <r>
    <x v="26"/>
    <x v="55"/>
    <n v="34617500"/>
  </r>
  <r>
    <x v="26"/>
    <x v="62"/>
    <n v="7352550"/>
  </r>
  <r>
    <x v="26"/>
    <x v="72"/>
    <n v="4932200"/>
  </r>
  <r>
    <x v="27"/>
    <x v="2"/>
    <n v="3113195530"/>
  </r>
  <r>
    <x v="27"/>
    <x v="23"/>
    <n v="2276016440"/>
  </r>
  <r>
    <x v="27"/>
    <x v="26"/>
    <n v="720166510"/>
  </r>
  <r>
    <x v="27"/>
    <x v="3"/>
    <n v="601429800"/>
  </r>
  <r>
    <x v="27"/>
    <x v="27"/>
    <n v="503850120"/>
  </r>
  <r>
    <x v="27"/>
    <x v="14"/>
    <n v="467903570"/>
  </r>
  <r>
    <x v="27"/>
    <x v="21"/>
    <n v="381722820"/>
  </r>
  <r>
    <x v="27"/>
    <x v="32"/>
    <n v="294612230"/>
  </r>
  <r>
    <x v="27"/>
    <x v="22"/>
    <n v="122792000"/>
  </r>
  <r>
    <x v="27"/>
    <x v="9"/>
    <n v="53379960"/>
  </r>
  <r>
    <x v="27"/>
    <x v="8"/>
    <n v="48130780"/>
  </r>
  <r>
    <x v="27"/>
    <x v="81"/>
    <n v="21737000"/>
  </r>
  <r>
    <x v="27"/>
    <x v="6"/>
    <n v="15000000"/>
  </r>
  <r>
    <x v="27"/>
    <x v="33"/>
    <n v="1415700"/>
  </r>
  <r>
    <x v="28"/>
    <x v="9"/>
    <n v="5621694060"/>
  </r>
  <r>
    <x v="29"/>
    <x v="8"/>
    <n v="265158820"/>
  </r>
  <r>
    <x v="29"/>
    <x v="2"/>
    <n v="124189800"/>
  </r>
  <r>
    <x v="29"/>
    <x v="9"/>
    <n v="2310000"/>
  </r>
  <r>
    <x v="30"/>
    <x v="3"/>
    <n v="105143080"/>
  </r>
  <r>
    <x v="30"/>
    <x v="8"/>
    <n v="38182560"/>
  </r>
  <r>
    <x v="30"/>
    <x v="9"/>
    <n v="198000"/>
  </r>
  <r>
    <x v="31"/>
    <x v="96"/>
    <n v="2544539634280"/>
  </r>
  <r>
    <x v="31"/>
    <x v="95"/>
    <n v="188102762890"/>
  </r>
  <r>
    <x v="31"/>
    <x v="54"/>
    <n v="98635313510"/>
  </r>
  <r>
    <x v="31"/>
    <x v="9"/>
    <n v="50850474030"/>
  </r>
  <r>
    <x v="31"/>
    <x v="33"/>
    <n v="33908745020"/>
  </r>
  <r>
    <x v="31"/>
    <x v="52"/>
    <n v="21602791870"/>
  </r>
  <r>
    <x v="31"/>
    <x v="97"/>
    <n v="5192012040"/>
  </r>
  <r>
    <x v="31"/>
    <x v="3"/>
    <n v="3879194500"/>
  </r>
  <r>
    <x v="31"/>
    <x v="99"/>
    <n v="1024902840"/>
  </r>
  <r>
    <x v="31"/>
    <x v="23"/>
    <n v="460155220"/>
  </r>
  <r>
    <x v="31"/>
    <x v="8"/>
    <n v="128296030"/>
  </r>
  <r>
    <x v="31"/>
    <x v="10"/>
    <n v="11992470"/>
  </r>
  <r>
    <x v="32"/>
    <x v="24"/>
    <n v="25728783570"/>
  </r>
  <r>
    <x v="32"/>
    <x v="3"/>
    <n v="2113746450"/>
  </r>
  <r>
    <x v="32"/>
    <x v="13"/>
    <n v="1748259560"/>
  </r>
  <r>
    <x v="32"/>
    <x v="12"/>
    <n v="451060960"/>
  </r>
  <r>
    <x v="32"/>
    <x v="9"/>
    <n v="204038080"/>
  </r>
  <r>
    <x v="32"/>
    <x v="8"/>
    <n v="26018980"/>
  </r>
  <r>
    <x v="32"/>
    <x v="10"/>
    <n v="447100"/>
  </r>
  <r>
    <x v="33"/>
    <x v="13"/>
    <n v="10297925250"/>
  </r>
  <r>
    <x v="33"/>
    <x v="9"/>
    <n v="61459790"/>
  </r>
  <r>
    <x v="33"/>
    <x v="10"/>
    <n v="10142560"/>
  </r>
  <r>
    <x v="34"/>
    <x v="13"/>
    <n v="22066435640"/>
  </r>
  <r>
    <x v="34"/>
    <x v="3"/>
    <n v="6495872650"/>
  </r>
  <r>
    <x v="34"/>
    <x v="1"/>
    <n v="721254180"/>
  </r>
  <r>
    <x v="34"/>
    <x v="8"/>
    <n v="97077400"/>
  </r>
  <r>
    <x v="34"/>
    <x v="9"/>
    <n v="33622330"/>
  </r>
  <r>
    <x v="34"/>
    <x v="2"/>
    <n v="19999970"/>
  </r>
  <r>
    <x v="35"/>
    <x v="3"/>
    <n v="24905900"/>
  </r>
  <r>
    <x v="36"/>
    <x v="61"/>
    <n v="3680889870"/>
  </r>
  <r>
    <x v="36"/>
    <x v="6"/>
    <n v="700755300"/>
  </r>
  <r>
    <x v="36"/>
    <x v="3"/>
    <n v="610895260"/>
  </r>
  <r>
    <x v="36"/>
    <x v="1"/>
    <n v="286868550"/>
  </r>
  <r>
    <x v="36"/>
    <x v="14"/>
    <n v="50000000"/>
  </r>
  <r>
    <x v="36"/>
    <x v="9"/>
    <n v="33971340"/>
  </r>
  <r>
    <x v="36"/>
    <x v="8"/>
    <n v="7568610"/>
  </r>
  <r>
    <x v="36"/>
    <x v="15"/>
    <n v="1115000"/>
  </r>
  <r>
    <x v="37"/>
    <x v="18"/>
    <n v="5105840350"/>
  </r>
  <r>
    <x v="37"/>
    <x v="3"/>
    <n v="51356900"/>
  </r>
  <r>
    <x v="37"/>
    <x v="9"/>
    <n v="31611670"/>
  </r>
  <r>
    <x v="37"/>
    <x v="8"/>
    <n v="25218750"/>
  </r>
  <r>
    <x v="37"/>
    <x v="10"/>
    <n v="22686520"/>
  </r>
  <r>
    <x v="38"/>
    <x v="13"/>
    <n v="57531692790"/>
  </r>
  <r>
    <x v="38"/>
    <x v="3"/>
    <n v="1316513290"/>
  </r>
  <r>
    <x v="38"/>
    <x v="9"/>
    <n v="459661600"/>
  </r>
  <r>
    <x v="38"/>
    <x v="10"/>
    <n v="123329470"/>
  </r>
  <r>
    <x v="39"/>
    <x v="11"/>
    <n v="172752321010"/>
  </r>
  <r>
    <x v="39"/>
    <x v="31"/>
    <n v="158003222400"/>
  </r>
  <r>
    <x v="39"/>
    <x v="46"/>
    <n v="24741554360"/>
  </r>
  <r>
    <x v="39"/>
    <x v="3"/>
    <n v="12394006470"/>
  </r>
  <r>
    <x v="39"/>
    <x v="10"/>
    <n v="9876027840"/>
  </r>
  <r>
    <x v="39"/>
    <x v="37"/>
    <n v="111330360"/>
  </r>
  <r>
    <x v="39"/>
    <x v="9"/>
    <n v="32226450"/>
  </r>
  <r>
    <x v="39"/>
    <x v="8"/>
    <n v="950030"/>
  </r>
  <r>
    <x v="40"/>
    <x v="21"/>
    <n v="3639528570"/>
  </r>
  <r>
    <x v="40"/>
    <x v="3"/>
    <n v="76714440"/>
  </r>
  <r>
    <x v="40"/>
    <x v="9"/>
    <n v="29470000"/>
  </r>
  <r>
    <x v="40"/>
    <x v="8"/>
    <n v="3230590"/>
  </r>
  <r>
    <x v="40"/>
    <x v="10"/>
    <n v="188000"/>
  </r>
  <r>
    <x v="41"/>
    <x v="29"/>
    <n v="341489590960"/>
  </r>
  <r>
    <x v="41"/>
    <x v="96"/>
    <n v="103219343750"/>
  </r>
  <r>
    <x v="41"/>
    <x v="3"/>
    <n v="19448947930"/>
  </r>
  <r>
    <x v="41"/>
    <x v="9"/>
    <n v="14385472000"/>
  </r>
  <r>
    <x v="41"/>
    <x v="13"/>
    <n v="7925053100"/>
  </r>
  <r>
    <x v="41"/>
    <x v="10"/>
    <n v="6308913030"/>
  </r>
  <r>
    <x v="41"/>
    <x v="1"/>
    <n v="1654614490"/>
  </r>
  <r>
    <x v="41"/>
    <x v="2"/>
    <n v="200000000"/>
  </r>
  <r>
    <x v="41"/>
    <x v="20"/>
    <n v="98500000"/>
  </r>
  <r>
    <x v="41"/>
    <x v="8"/>
    <n v="14246450"/>
  </r>
  <r>
    <x v="42"/>
    <x v="42"/>
    <n v="21510446490"/>
  </r>
  <r>
    <x v="42"/>
    <x v="10"/>
    <n v="637018800"/>
  </r>
  <r>
    <x v="42"/>
    <x v="3"/>
    <n v="369324190"/>
  </r>
  <r>
    <x v="42"/>
    <x v="1"/>
    <n v="337063610"/>
  </r>
  <r>
    <x v="42"/>
    <x v="8"/>
    <n v="35541250"/>
  </r>
  <r>
    <x v="43"/>
    <x v="22"/>
    <n v="88384147980"/>
  </r>
  <r>
    <x v="43"/>
    <x v="90"/>
    <n v="18543046270"/>
  </r>
  <r>
    <x v="43"/>
    <x v="6"/>
    <n v="2152242280"/>
  </r>
  <r>
    <x v="43"/>
    <x v="9"/>
    <n v="1958796180"/>
  </r>
  <r>
    <x v="43"/>
    <x v="3"/>
    <n v="1588030850"/>
  </r>
  <r>
    <x v="43"/>
    <x v="89"/>
    <n v="1353016140"/>
  </r>
  <r>
    <x v="43"/>
    <x v="73"/>
    <n v="1158127800"/>
  </r>
  <r>
    <x v="43"/>
    <x v="27"/>
    <n v="687300100"/>
  </r>
  <r>
    <x v="43"/>
    <x v="33"/>
    <n v="34850580"/>
  </r>
  <r>
    <x v="43"/>
    <x v="8"/>
    <n v="14291160"/>
  </r>
  <r>
    <x v="44"/>
    <x v="30"/>
    <n v="5723498870"/>
  </r>
  <r>
    <x v="44"/>
    <x v="3"/>
    <n v="1794223870"/>
  </r>
  <r>
    <x v="44"/>
    <x v="72"/>
    <n v="192299320"/>
  </r>
  <r>
    <x v="44"/>
    <x v="9"/>
    <n v="29363980"/>
  </r>
  <r>
    <x v="44"/>
    <x v="2"/>
    <n v="382800"/>
  </r>
  <r>
    <x v="44"/>
    <x v="8"/>
    <n v="265290"/>
  </r>
  <r>
    <x v="45"/>
    <x v="8"/>
    <n v="2492424380"/>
  </r>
  <r>
    <x v="45"/>
    <x v="3"/>
    <n v="40814480"/>
  </r>
  <r>
    <x v="45"/>
    <x v="9"/>
    <n v="1536000"/>
  </r>
  <r>
    <x v="46"/>
    <x v="105"/>
    <n v="315916137070"/>
  </r>
  <r>
    <x v="46"/>
    <x v="106"/>
    <n v="16918027250"/>
  </r>
  <r>
    <x v="46"/>
    <x v="55"/>
    <n v="7045503700"/>
  </r>
  <r>
    <x v="46"/>
    <x v="58"/>
    <n v="3449914370"/>
  </r>
  <r>
    <x v="46"/>
    <x v="3"/>
    <n v="1400184920"/>
  </r>
  <r>
    <x v="46"/>
    <x v="62"/>
    <n v="429485810"/>
  </r>
  <r>
    <x v="46"/>
    <x v="8"/>
    <n v="190703950"/>
  </r>
  <r>
    <x v="46"/>
    <x v="50"/>
    <n v="44890130"/>
  </r>
  <r>
    <x v="46"/>
    <x v="10"/>
    <n v="16458080"/>
  </r>
  <r>
    <x v="47"/>
    <x v="101"/>
    <n v="836079750790"/>
  </r>
  <r>
    <x v="47"/>
    <x v="58"/>
    <n v="7502058000"/>
  </r>
  <r>
    <x v="47"/>
    <x v="3"/>
    <n v="4260925010"/>
  </r>
  <r>
    <x v="47"/>
    <x v="88"/>
    <n v="3513515000"/>
  </r>
  <r>
    <x v="47"/>
    <x v="72"/>
    <n v="2886449600"/>
  </r>
  <r>
    <x v="47"/>
    <x v="53"/>
    <n v="2282580600"/>
  </r>
  <r>
    <x v="47"/>
    <x v="62"/>
    <n v="1145466640"/>
  </r>
  <r>
    <x v="47"/>
    <x v="13"/>
    <n v="1094486610"/>
  </r>
  <r>
    <x v="47"/>
    <x v="10"/>
    <n v="262295390"/>
  </r>
  <r>
    <x v="47"/>
    <x v="71"/>
    <n v="192726800"/>
  </r>
  <r>
    <x v="47"/>
    <x v="8"/>
    <n v="43939740"/>
  </r>
  <r>
    <x v="48"/>
    <x v="15"/>
    <n v="5181800300"/>
  </r>
  <r>
    <x v="48"/>
    <x v="3"/>
    <n v="5126375180"/>
  </r>
  <r>
    <x v="48"/>
    <x v="10"/>
    <n v="2070803470"/>
  </r>
  <r>
    <x v="48"/>
    <x v="13"/>
    <n v="1391076640"/>
  </r>
  <r>
    <x v="48"/>
    <x v="23"/>
    <n v="315355300"/>
  </r>
  <r>
    <x v="48"/>
    <x v="9"/>
    <n v="55649480"/>
  </r>
  <r>
    <x v="48"/>
    <x v="27"/>
    <n v="52399010"/>
  </r>
  <r>
    <x v="48"/>
    <x v="22"/>
    <n v="29157600"/>
  </r>
  <r>
    <x v="48"/>
    <x v="2"/>
    <n v="22872680"/>
  </r>
  <r>
    <x v="49"/>
    <x v="52"/>
    <n v="1185097350"/>
  </r>
  <r>
    <x v="49"/>
    <x v="54"/>
    <n v="402953300"/>
  </r>
  <r>
    <x v="49"/>
    <x v="9"/>
    <n v="347978820"/>
  </r>
  <r>
    <x v="49"/>
    <x v="8"/>
    <n v="26774810"/>
  </r>
  <r>
    <x v="49"/>
    <x v="3"/>
    <n v="24119840"/>
  </r>
  <r>
    <x v="49"/>
    <x v="10"/>
    <n v="629000"/>
  </r>
  <r>
    <x v="50"/>
    <x v="21"/>
    <n v="85491093510"/>
  </r>
  <r>
    <x v="50"/>
    <x v="3"/>
    <n v="1359616700"/>
  </r>
  <r>
    <x v="50"/>
    <x v="8"/>
    <n v="507150450"/>
  </r>
  <r>
    <x v="50"/>
    <x v="9"/>
    <n v="9753200"/>
  </r>
  <r>
    <x v="50"/>
    <x v="10"/>
    <n v="8416900"/>
  </r>
  <r>
    <x v="51"/>
    <x v="2"/>
    <n v="13908711310"/>
  </r>
  <r>
    <x v="51"/>
    <x v="3"/>
    <n v="456235520"/>
  </r>
  <r>
    <x v="51"/>
    <x v="9"/>
    <n v="70401680"/>
  </r>
  <r>
    <x v="51"/>
    <x v="8"/>
    <n v="36197940"/>
  </r>
  <r>
    <x v="52"/>
    <x v="16"/>
    <n v="4945019760"/>
  </r>
  <r>
    <x v="52"/>
    <x v="3"/>
    <n v="79280990"/>
  </r>
  <r>
    <x v="52"/>
    <x v="9"/>
    <n v="27741330"/>
  </r>
  <r>
    <x v="52"/>
    <x v="1"/>
    <n v="2961000"/>
  </r>
  <r>
    <x v="52"/>
    <x v="8"/>
    <n v="2309500"/>
  </r>
  <r>
    <x v="53"/>
    <x v="107"/>
    <n v="3487684260"/>
  </r>
  <r>
    <x v="53"/>
    <x v="3"/>
    <n v="70956300"/>
  </r>
  <r>
    <x v="53"/>
    <x v="9"/>
    <n v="19221000"/>
  </r>
  <r>
    <x v="53"/>
    <x v="8"/>
    <n v="16071150"/>
  </r>
  <r>
    <x v="54"/>
    <x v="105"/>
    <n v="2977939200"/>
  </r>
  <r>
    <x v="54"/>
    <x v="3"/>
    <n v="74452500"/>
  </r>
  <r>
    <x v="54"/>
    <x v="8"/>
    <n v="30860370"/>
  </r>
  <r>
    <x v="54"/>
    <x v="9"/>
    <n v="30229200"/>
  </r>
  <r>
    <x v="54"/>
    <x v="1"/>
    <n v="1089000"/>
  </r>
  <r>
    <x v="55"/>
    <x v="105"/>
    <n v="10926987470"/>
  </r>
  <r>
    <x v="55"/>
    <x v="106"/>
    <n v="8019125390"/>
  </r>
  <r>
    <x v="55"/>
    <x v="3"/>
    <n v="727056980"/>
  </r>
  <r>
    <x v="55"/>
    <x v="62"/>
    <n v="8126880"/>
  </r>
  <r>
    <x v="56"/>
    <x v="12"/>
    <n v="10238064020"/>
  </r>
  <r>
    <x v="56"/>
    <x v="3"/>
    <n v="870285320"/>
  </r>
  <r>
    <x v="56"/>
    <x v="29"/>
    <n v="246587910"/>
  </r>
  <r>
    <x v="56"/>
    <x v="9"/>
    <n v="141652500"/>
  </r>
  <r>
    <x v="56"/>
    <x v="10"/>
    <n v="23195080"/>
  </r>
  <r>
    <x v="56"/>
    <x v="8"/>
    <n v="9667210"/>
  </r>
  <r>
    <x v="57"/>
    <x v="3"/>
    <n v="60259140"/>
  </r>
  <r>
    <x v="58"/>
    <x v="0"/>
    <n v="56508726110"/>
  </r>
  <r>
    <x v="58"/>
    <x v="3"/>
    <n v="2446413820"/>
  </r>
  <r>
    <x v="58"/>
    <x v="9"/>
    <n v="229932000"/>
  </r>
  <r>
    <x v="58"/>
    <x v="1"/>
    <n v="225373410"/>
  </r>
  <r>
    <x v="58"/>
    <x v="8"/>
    <n v="22281980"/>
  </r>
  <r>
    <x v="58"/>
    <x v="10"/>
    <n v="18344350"/>
  </r>
  <r>
    <x v="59"/>
    <x v="47"/>
    <n v="9250557430"/>
  </r>
  <r>
    <x v="59"/>
    <x v="57"/>
    <n v="8725693650"/>
  </r>
  <r>
    <x v="59"/>
    <x v="14"/>
    <n v="2962550120"/>
  </r>
  <r>
    <x v="59"/>
    <x v="28"/>
    <n v="1305637090"/>
  </r>
  <r>
    <x v="59"/>
    <x v="108"/>
    <n v="1250634000"/>
  </r>
  <r>
    <x v="59"/>
    <x v="48"/>
    <n v="574553850"/>
  </r>
  <r>
    <x v="59"/>
    <x v="92"/>
    <n v="339214000"/>
  </r>
  <r>
    <x v="59"/>
    <x v="3"/>
    <n v="231914320"/>
  </r>
  <r>
    <x v="59"/>
    <x v="103"/>
    <n v="157190000"/>
  </r>
  <r>
    <x v="59"/>
    <x v="23"/>
    <n v="114979260"/>
  </r>
  <r>
    <x v="59"/>
    <x v="2"/>
    <n v="68685700"/>
  </r>
  <r>
    <x v="59"/>
    <x v="77"/>
    <n v="38890000"/>
  </r>
  <r>
    <x v="59"/>
    <x v="9"/>
    <n v="24296810"/>
  </r>
  <r>
    <x v="59"/>
    <x v="10"/>
    <n v="8973020"/>
  </r>
  <r>
    <x v="59"/>
    <x v="8"/>
    <n v="798890"/>
  </r>
  <r>
    <x v="59"/>
    <x v="1"/>
    <n v="342000"/>
  </r>
  <r>
    <x v="60"/>
    <x v="76"/>
    <n v="346343940"/>
  </r>
  <r>
    <x v="60"/>
    <x v="3"/>
    <n v="147910110"/>
  </r>
  <r>
    <x v="60"/>
    <x v="18"/>
    <n v="74256830"/>
  </r>
  <r>
    <x v="60"/>
    <x v="9"/>
    <n v="912000"/>
  </r>
  <r>
    <x v="61"/>
    <x v="75"/>
    <n v="16260083430"/>
  </r>
  <r>
    <x v="61"/>
    <x v="3"/>
    <n v="276306440"/>
  </r>
  <r>
    <x v="61"/>
    <x v="9"/>
    <n v="142923000"/>
  </r>
  <r>
    <x v="61"/>
    <x v="62"/>
    <n v="136032920"/>
  </r>
  <r>
    <x v="61"/>
    <x v="8"/>
    <n v="2067320"/>
  </r>
  <r>
    <x v="62"/>
    <x v="34"/>
    <n v="5678161750"/>
  </r>
  <r>
    <x v="62"/>
    <x v="9"/>
    <n v="24762000"/>
  </r>
  <r>
    <x v="63"/>
    <x v="13"/>
    <n v="906007040"/>
  </r>
  <r>
    <x v="63"/>
    <x v="3"/>
    <n v="22544330"/>
  </r>
  <r>
    <x v="63"/>
    <x v="8"/>
    <n v="1884890"/>
  </r>
  <r>
    <x v="63"/>
    <x v="9"/>
    <n v="420000"/>
  </r>
  <r>
    <x v="64"/>
    <x v="3"/>
    <n v="913807450"/>
  </r>
  <r>
    <x v="65"/>
    <x v="2"/>
    <n v="2587635180"/>
  </r>
  <r>
    <x v="65"/>
    <x v="3"/>
    <n v="221332810"/>
  </r>
  <r>
    <x v="66"/>
    <x v="20"/>
    <n v="37729095800"/>
  </r>
  <r>
    <x v="66"/>
    <x v="38"/>
    <n v="34710147400"/>
  </r>
  <r>
    <x v="66"/>
    <x v="47"/>
    <n v="16261388800"/>
  </r>
  <r>
    <x v="66"/>
    <x v="39"/>
    <n v="9545699900"/>
  </r>
  <r>
    <x v="66"/>
    <x v="40"/>
    <n v="7866718600"/>
  </r>
  <r>
    <x v="66"/>
    <x v="41"/>
    <n v="6850267500"/>
  </r>
  <r>
    <x v="66"/>
    <x v="10"/>
    <n v="5831407770"/>
  </r>
  <r>
    <x v="66"/>
    <x v="3"/>
    <n v="5380645400"/>
  </r>
  <r>
    <x v="66"/>
    <x v="43"/>
    <n v="5174964400"/>
  </r>
  <r>
    <x v="66"/>
    <x v="14"/>
    <n v="3016700000"/>
  </r>
  <r>
    <x v="66"/>
    <x v="57"/>
    <n v="2342032700"/>
  </r>
  <r>
    <x v="66"/>
    <x v="90"/>
    <n v="2289316800"/>
  </r>
  <r>
    <x v="66"/>
    <x v="19"/>
    <n v="2088632400"/>
  </r>
  <r>
    <x v="66"/>
    <x v="2"/>
    <n v="1980526200"/>
  </r>
  <r>
    <x v="66"/>
    <x v="36"/>
    <n v="1980256500"/>
  </r>
  <r>
    <x v="66"/>
    <x v="32"/>
    <n v="1263356900"/>
  </r>
  <r>
    <x v="66"/>
    <x v="23"/>
    <n v="1089157000"/>
  </r>
  <r>
    <x v="66"/>
    <x v="85"/>
    <n v="835200000"/>
  </r>
  <r>
    <x v="66"/>
    <x v="53"/>
    <n v="738055900"/>
  </r>
  <r>
    <x v="66"/>
    <x v="48"/>
    <n v="631695800"/>
  </r>
  <r>
    <x v="66"/>
    <x v="59"/>
    <n v="414386200"/>
  </r>
  <r>
    <x v="66"/>
    <x v="81"/>
    <n v="337628100"/>
  </r>
  <r>
    <x v="66"/>
    <x v="11"/>
    <n v="255964800"/>
  </r>
  <r>
    <x v="66"/>
    <x v="51"/>
    <n v="248007000"/>
  </r>
  <r>
    <x v="66"/>
    <x v="31"/>
    <n v="95820000"/>
  </r>
  <r>
    <x v="66"/>
    <x v="109"/>
    <n v="7910000"/>
  </r>
  <r>
    <x v="66"/>
    <x v="103"/>
    <n v="880000"/>
  </r>
  <r>
    <x v="67"/>
    <x v="38"/>
    <n v="28492117500"/>
  </r>
  <r>
    <x v="67"/>
    <x v="40"/>
    <n v="16136443700"/>
  </r>
  <r>
    <x v="67"/>
    <x v="43"/>
    <n v="9835207000"/>
  </r>
  <r>
    <x v="67"/>
    <x v="2"/>
    <n v="5987388700"/>
  </r>
  <r>
    <x v="67"/>
    <x v="3"/>
    <n v="5869300810"/>
  </r>
  <r>
    <x v="67"/>
    <x v="14"/>
    <n v="1959897270"/>
  </r>
  <r>
    <x v="67"/>
    <x v="9"/>
    <n v="1648264480"/>
  </r>
  <r>
    <x v="67"/>
    <x v="20"/>
    <n v="1402459690"/>
  </r>
  <r>
    <x v="67"/>
    <x v="60"/>
    <n v="376040500"/>
  </r>
  <r>
    <x v="67"/>
    <x v="53"/>
    <n v="348136700"/>
  </r>
  <r>
    <x v="67"/>
    <x v="51"/>
    <n v="335515100"/>
  </r>
  <r>
    <x v="67"/>
    <x v="37"/>
    <n v="270534400"/>
  </r>
  <r>
    <x v="67"/>
    <x v="47"/>
    <n v="60158200"/>
  </r>
  <r>
    <x v="67"/>
    <x v="23"/>
    <n v="52164400"/>
  </r>
  <r>
    <x v="67"/>
    <x v="31"/>
    <n v="35000000"/>
  </r>
  <r>
    <x v="67"/>
    <x v="55"/>
    <n v="5190000"/>
  </r>
  <r>
    <x v="68"/>
    <x v="38"/>
    <n v="37866892850"/>
  </r>
  <r>
    <x v="68"/>
    <x v="40"/>
    <n v="23205282300"/>
  </r>
  <r>
    <x v="68"/>
    <x v="43"/>
    <n v="12129449310"/>
  </r>
  <r>
    <x v="68"/>
    <x v="3"/>
    <n v="8481481000"/>
  </r>
  <r>
    <x v="68"/>
    <x v="2"/>
    <n v="6242978440"/>
  </r>
  <r>
    <x v="68"/>
    <x v="14"/>
    <n v="2770964920"/>
  </r>
  <r>
    <x v="68"/>
    <x v="9"/>
    <n v="2262370240"/>
  </r>
  <r>
    <x v="68"/>
    <x v="20"/>
    <n v="1085634170"/>
  </r>
  <r>
    <x v="68"/>
    <x v="37"/>
    <n v="589001300"/>
  </r>
  <r>
    <x v="68"/>
    <x v="60"/>
    <n v="478521600"/>
  </r>
  <r>
    <x v="68"/>
    <x v="51"/>
    <n v="215558400"/>
  </r>
  <r>
    <x v="68"/>
    <x v="48"/>
    <n v="189166000"/>
  </r>
  <r>
    <x v="68"/>
    <x v="23"/>
    <n v="73017740"/>
  </r>
  <r>
    <x v="68"/>
    <x v="47"/>
    <n v="49978300"/>
  </r>
  <r>
    <x v="68"/>
    <x v="85"/>
    <n v="29703600"/>
  </r>
  <r>
    <x v="68"/>
    <x v="31"/>
    <n v="16000000"/>
  </r>
  <r>
    <x v="68"/>
    <x v="55"/>
    <n v="15690000"/>
  </r>
  <r>
    <x v="68"/>
    <x v="8"/>
    <n v="1260440"/>
  </r>
  <r>
    <x v="68"/>
    <x v="92"/>
    <n v="599000"/>
  </r>
  <r>
    <x v="69"/>
    <x v="38"/>
    <n v="41266954360"/>
  </r>
  <r>
    <x v="69"/>
    <x v="40"/>
    <n v="24025432740"/>
  </r>
  <r>
    <x v="69"/>
    <x v="43"/>
    <n v="11904227950"/>
  </r>
  <r>
    <x v="69"/>
    <x v="3"/>
    <n v="10281013210"/>
  </r>
  <r>
    <x v="69"/>
    <x v="2"/>
    <n v="6627801710"/>
  </r>
  <r>
    <x v="69"/>
    <x v="14"/>
    <n v="3288422670"/>
  </r>
  <r>
    <x v="69"/>
    <x v="9"/>
    <n v="2354701470"/>
  </r>
  <r>
    <x v="69"/>
    <x v="37"/>
    <n v="753780770"/>
  </r>
  <r>
    <x v="69"/>
    <x v="60"/>
    <n v="610893260"/>
  </r>
  <r>
    <x v="69"/>
    <x v="20"/>
    <n v="515843220"/>
  </r>
  <r>
    <x v="69"/>
    <x v="51"/>
    <n v="321622100"/>
  </r>
  <r>
    <x v="69"/>
    <x v="12"/>
    <n v="298490900"/>
  </r>
  <r>
    <x v="69"/>
    <x v="53"/>
    <n v="206214560"/>
  </r>
  <r>
    <x v="69"/>
    <x v="92"/>
    <n v="203504850"/>
  </r>
  <r>
    <x v="69"/>
    <x v="44"/>
    <n v="49800000"/>
  </r>
  <r>
    <x v="69"/>
    <x v="23"/>
    <n v="41762000"/>
  </r>
  <r>
    <x v="69"/>
    <x v="55"/>
    <n v="21000000"/>
  </r>
  <r>
    <x v="69"/>
    <x v="8"/>
    <n v="484380"/>
  </r>
  <r>
    <x v="70"/>
    <x v="38"/>
    <n v="41014154600"/>
  </r>
  <r>
    <x v="70"/>
    <x v="40"/>
    <n v="22510701300"/>
  </r>
  <r>
    <x v="70"/>
    <x v="43"/>
    <n v="13741777400"/>
  </r>
  <r>
    <x v="70"/>
    <x v="2"/>
    <n v="9184255980"/>
  </r>
  <r>
    <x v="70"/>
    <x v="3"/>
    <n v="8388615810"/>
  </r>
  <r>
    <x v="70"/>
    <x v="14"/>
    <n v="2756830130"/>
  </r>
  <r>
    <x v="70"/>
    <x v="9"/>
    <n v="2189061360"/>
  </r>
  <r>
    <x v="70"/>
    <x v="20"/>
    <n v="1922828360"/>
  </r>
  <r>
    <x v="70"/>
    <x v="37"/>
    <n v="973803320"/>
  </r>
  <r>
    <x v="70"/>
    <x v="60"/>
    <n v="557541000"/>
  </r>
  <r>
    <x v="70"/>
    <x v="23"/>
    <n v="531768500"/>
  </r>
  <r>
    <x v="70"/>
    <x v="51"/>
    <n v="469047820"/>
  </r>
  <r>
    <x v="70"/>
    <x v="92"/>
    <n v="282411590"/>
  </r>
  <r>
    <x v="70"/>
    <x v="53"/>
    <n v="224896300"/>
  </r>
  <r>
    <x v="70"/>
    <x v="48"/>
    <n v="185194200"/>
  </r>
  <r>
    <x v="70"/>
    <x v="15"/>
    <n v="56414820"/>
  </r>
  <r>
    <x v="70"/>
    <x v="11"/>
    <n v="53340800"/>
  </r>
  <r>
    <x v="70"/>
    <x v="31"/>
    <n v="36381000"/>
  </r>
  <r>
    <x v="70"/>
    <x v="59"/>
    <n v="15500000"/>
  </r>
  <r>
    <x v="70"/>
    <x v="61"/>
    <n v="14867400"/>
  </r>
  <r>
    <x v="70"/>
    <x v="85"/>
    <n v="13000000"/>
  </r>
  <r>
    <x v="70"/>
    <x v="18"/>
    <n v="7923200"/>
  </r>
  <r>
    <x v="70"/>
    <x v="28"/>
    <n v="5364300"/>
  </r>
  <r>
    <x v="70"/>
    <x v="55"/>
    <n v="4076400"/>
  </r>
  <r>
    <x v="70"/>
    <x v="12"/>
    <n v="2400000"/>
  </r>
  <r>
    <x v="70"/>
    <x v="8"/>
    <n v="1874220"/>
  </r>
  <r>
    <x v="71"/>
    <x v="38"/>
    <n v="42692049300"/>
  </r>
  <r>
    <x v="71"/>
    <x v="40"/>
    <n v="24166250800"/>
  </r>
  <r>
    <x v="71"/>
    <x v="43"/>
    <n v="11461664990"/>
  </r>
  <r>
    <x v="71"/>
    <x v="3"/>
    <n v="10683318480"/>
  </r>
  <r>
    <x v="71"/>
    <x v="2"/>
    <n v="7559993390"/>
  </r>
  <r>
    <x v="71"/>
    <x v="9"/>
    <n v="2400327630"/>
  </r>
  <r>
    <x v="71"/>
    <x v="44"/>
    <n v="1967987800"/>
  </r>
  <r>
    <x v="71"/>
    <x v="20"/>
    <n v="1722026580"/>
  </r>
  <r>
    <x v="71"/>
    <x v="14"/>
    <n v="1453436230"/>
  </r>
  <r>
    <x v="71"/>
    <x v="37"/>
    <n v="841341200"/>
  </r>
  <r>
    <x v="71"/>
    <x v="47"/>
    <n v="814788000"/>
  </r>
  <r>
    <x v="71"/>
    <x v="51"/>
    <n v="281371360"/>
  </r>
  <r>
    <x v="71"/>
    <x v="60"/>
    <n v="281180400"/>
  </r>
  <r>
    <x v="71"/>
    <x v="48"/>
    <n v="142369400"/>
  </r>
  <r>
    <x v="71"/>
    <x v="53"/>
    <n v="140424900"/>
  </r>
  <r>
    <x v="71"/>
    <x v="31"/>
    <n v="80785300"/>
  </r>
  <r>
    <x v="71"/>
    <x v="23"/>
    <n v="54077000"/>
  </r>
  <r>
    <x v="71"/>
    <x v="11"/>
    <n v="49309000"/>
  </r>
  <r>
    <x v="71"/>
    <x v="28"/>
    <n v="39642600"/>
  </r>
  <r>
    <x v="71"/>
    <x v="85"/>
    <n v="37878800"/>
  </r>
  <r>
    <x v="71"/>
    <x v="92"/>
    <n v="32494000"/>
  </r>
  <r>
    <x v="71"/>
    <x v="95"/>
    <n v="21745500"/>
  </r>
  <r>
    <x v="71"/>
    <x v="55"/>
    <n v="12480000"/>
  </r>
  <r>
    <x v="71"/>
    <x v="10"/>
    <n v="7418160"/>
  </r>
  <r>
    <x v="71"/>
    <x v="8"/>
    <n v="519450"/>
  </r>
  <r>
    <x v="72"/>
    <x v="38"/>
    <n v="35416573400"/>
  </r>
  <r>
    <x v="72"/>
    <x v="40"/>
    <n v="21877847950"/>
  </r>
  <r>
    <x v="72"/>
    <x v="3"/>
    <n v="8982548660"/>
  </r>
  <r>
    <x v="72"/>
    <x v="43"/>
    <n v="8399596200"/>
  </r>
  <r>
    <x v="72"/>
    <x v="2"/>
    <n v="6861024430"/>
  </r>
  <r>
    <x v="72"/>
    <x v="14"/>
    <n v="4422593520"/>
  </r>
  <r>
    <x v="72"/>
    <x v="9"/>
    <n v="1866751480"/>
  </r>
  <r>
    <x v="72"/>
    <x v="20"/>
    <n v="1513721870"/>
  </r>
  <r>
    <x v="72"/>
    <x v="51"/>
    <n v="1028654300"/>
  </r>
  <r>
    <x v="72"/>
    <x v="37"/>
    <n v="860550900"/>
  </r>
  <r>
    <x v="72"/>
    <x v="53"/>
    <n v="443445600"/>
  </r>
  <r>
    <x v="72"/>
    <x v="60"/>
    <n v="285187700"/>
  </r>
  <r>
    <x v="72"/>
    <x v="31"/>
    <n v="70000000"/>
  </r>
  <r>
    <x v="72"/>
    <x v="23"/>
    <n v="41435400"/>
  </r>
  <r>
    <x v="72"/>
    <x v="92"/>
    <n v="24343400"/>
  </r>
  <r>
    <x v="72"/>
    <x v="85"/>
    <n v="14500000"/>
  </r>
  <r>
    <x v="72"/>
    <x v="55"/>
    <n v="10343500"/>
  </r>
  <r>
    <x v="72"/>
    <x v="28"/>
    <n v="3243900"/>
  </r>
  <r>
    <x v="72"/>
    <x v="10"/>
    <n v="101110"/>
  </r>
  <r>
    <x v="73"/>
    <x v="38"/>
    <n v="42563487500"/>
  </r>
  <r>
    <x v="73"/>
    <x v="40"/>
    <n v="25280051000"/>
  </r>
  <r>
    <x v="73"/>
    <x v="43"/>
    <n v="13317814000"/>
  </r>
  <r>
    <x v="73"/>
    <x v="3"/>
    <n v="11793603340"/>
  </r>
  <r>
    <x v="73"/>
    <x v="2"/>
    <n v="8441290470"/>
  </r>
  <r>
    <x v="73"/>
    <x v="9"/>
    <n v="2449977440"/>
  </r>
  <r>
    <x v="73"/>
    <x v="20"/>
    <n v="2319549410"/>
  </r>
  <r>
    <x v="73"/>
    <x v="47"/>
    <n v="2114925900"/>
  </r>
  <r>
    <x v="73"/>
    <x v="14"/>
    <n v="2062065210"/>
  </r>
  <r>
    <x v="73"/>
    <x v="51"/>
    <n v="1354385200"/>
  </r>
  <r>
    <x v="73"/>
    <x v="23"/>
    <n v="1106561300"/>
  </r>
  <r>
    <x v="73"/>
    <x v="37"/>
    <n v="783536400"/>
  </r>
  <r>
    <x v="73"/>
    <x v="60"/>
    <n v="749207400"/>
  </r>
  <r>
    <x v="73"/>
    <x v="48"/>
    <n v="646488850"/>
  </r>
  <r>
    <x v="73"/>
    <x v="44"/>
    <n v="554211900"/>
  </r>
  <r>
    <x v="73"/>
    <x v="53"/>
    <n v="343289300"/>
  </r>
  <r>
    <x v="73"/>
    <x v="10"/>
    <n v="44785000"/>
  </r>
  <r>
    <x v="73"/>
    <x v="92"/>
    <n v="42901010"/>
  </r>
  <r>
    <x v="73"/>
    <x v="31"/>
    <n v="26000000"/>
  </r>
  <r>
    <x v="73"/>
    <x v="55"/>
    <n v="8641980"/>
  </r>
  <r>
    <x v="73"/>
    <x v="8"/>
    <n v="1628300"/>
  </r>
  <r>
    <x v="74"/>
    <x v="38"/>
    <n v="26550422490"/>
  </r>
  <r>
    <x v="74"/>
    <x v="40"/>
    <n v="14909466350"/>
  </r>
  <r>
    <x v="74"/>
    <x v="43"/>
    <n v="8475988500"/>
  </r>
  <r>
    <x v="74"/>
    <x v="2"/>
    <n v="6867520190"/>
  </r>
  <r>
    <x v="74"/>
    <x v="3"/>
    <n v="5860204700"/>
  </r>
  <r>
    <x v="74"/>
    <x v="14"/>
    <n v="2261119020"/>
  </r>
  <r>
    <x v="74"/>
    <x v="20"/>
    <n v="1602588720"/>
  </r>
  <r>
    <x v="74"/>
    <x v="9"/>
    <n v="1583207020"/>
  </r>
  <r>
    <x v="74"/>
    <x v="51"/>
    <n v="845061900"/>
  </r>
  <r>
    <x v="74"/>
    <x v="23"/>
    <n v="702198700"/>
  </r>
  <r>
    <x v="74"/>
    <x v="37"/>
    <n v="627451300"/>
  </r>
  <r>
    <x v="74"/>
    <x v="31"/>
    <n v="212800640"/>
  </r>
  <r>
    <x v="74"/>
    <x v="48"/>
    <n v="168751220"/>
  </r>
  <r>
    <x v="74"/>
    <x v="44"/>
    <n v="54878100"/>
  </r>
  <r>
    <x v="74"/>
    <x v="60"/>
    <n v="48488300"/>
  </r>
  <r>
    <x v="74"/>
    <x v="47"/>
    <n v="40000000"/>
  </r>
  <r>
    <x v="74"/>
    <x v="92"/>
    <n v="24292400"/>
  </r>
  <r>
    <x v="74"/>
    <x v="55"/>
    <n v="4695000"/>
  </r>
  <r>
    <x v="74"/>
    <x v="8"/>
    <n v="3803780"/>
  </r>
  <r>
    <x v="75"/>
    <x v="38"/>
    <n v="10380835300"/>
  </r>
  <r>
    <x v="75"/>
    <x v="40"/>
    <n v="5984149900"/>
  </r>
  <r>
    <x v="75"/>
    <x v="2"/>
    <n v="5114655990"/>
  </r>
  <r>
    <x v="75"/>
    <x v="3"/>
    <n v="4526229760"/>
  </r>
  <r>
    <x v="75"/>
    <x v="43"/>
    <n v="4142392320"/>
  </r>
  <r>
    <x v="75"/>
    <x v="20"/>
    <n v="2649766720"/>
  </r>
  <r>
    <x v="75"/>
    <x v="14"/>
    <n v="2639180750"/>
  </r>
  <r>
    <x v="75"/>
    <x v="31"/>
    <n v="758840840"/>
  </r>
  <r>
    <x v="75"/>
    <x v="9"/>
    <n v="687464010"/>
  </r>
  <r>
    <x v="75"/>
    <x v="51"/>
    <n v="602326480"/>
  </r>
  <r>
    <x v="75"/>
    <x v="28"/>
    <n v="506475380"/>
  </r>
  <r>
    <x v="75"/>
    <x v="37"/>
    <n v="289101780"/>
  </r>
  <r>
    <x v="75"/>
    <x v="59"/>
    <n v="177880000"/>
  </r>
  <r>
    <x v="75"/>
    <x v="48"/>
    <n v="137613900"/>
  </r>
  <r>
    <x v="75"/>
    <x v="85"/>
    <n v="135126900"/>
  </r>
  <r>
    <x v="75"/>
    <x v="60"/>
    <n v="128983200"/>
  </r>
  <r>
    <x v="75"/>
    <x v="18"/>
    <n v="96713800"/>
  </r>
  <r>
    <x v="75"/>
    <x v="23"/>
    <n v="69035800"/>
  </r>
  <r>
    <x v="75"/>
    <x v="47"/>
    <n v="64119000"/>
  </r>
  <r>
    <x v="75"/>
    <x v="10"/>
    <n v="58563100"/>
  </r>
  <r>
    <x v="75"/>
    <x v="11"/>
    <n v="32601500"/>
  </r>
  <r>
    <x v="75"/>
    <x v="92"/>
    <n v="31741500"/>
  </r>
  <r>
    <x v="75"/>
    <x v="8"/>
    <n v="2260140"/>
  </r>
  <r>
    <x v="76"/>
    <x v="38"/>
    <n v="22477141900"/>
  </r>
  <r>
    <x v="76"/>
    <x v="40"/>
    <n v="12112052900"/>
  </r>
  <r>
    <x v="76"/>
    <x v="43"/>
    <n v="7021008100"/>
  </r>
  <r>
    <x v="76"/>
    <x v="3"/>
    <n v="6723859850"/>
  </r>
  <r>
    <x v="76"/>
    <x v="2"/>
    <n v="5843390560"/>
  </r>
  <r>
    <x v="76"/>
    <x v="37"/>
    <n v="2351781520"/>
  </r>
  <r>
    <x v="76"/>
    <x v="9"/>
    <n v="1335689730"/>
  </r>
  <r>
    <x v="76"/>
    <x v="14"/>
    <n v="1247967360"/>
  </r>
  <r>
    <x v="76"/>
    <x v="20"/>
    <n v="1206723020"/>
  </r>
  <r>
    <x v="76"/>
    <x v="51"/>
    <n v="401468900"/>
  </r>
  <r>
    <x v="76"/>
    <x v="53"/>
    <n v="218345100"/>
  </r>
  <r>
    <x v="76"/>
    <x v="60"/>
    <n v="110238500"/>
  </r>
  <r>
    <x v="76"/>
    <x v="31"/>
    <n v="66906810"/>
  </r>
  <r>
    <x v="76"/>
    <x v="23"/>
    <n v="54877200"/>
  </r>
  <r>
    <x v="76"/>
    <x v="47"/>
    <n v="50000000"/>
  </r>
  <r>
    <x v="76"/>
    <x v="61"/>
    <n v="49205400"/>
  </r>
  <r>
    <x v="76"/>
    <x v="11"/>
    <n v="40193600"/>
  </r>
  <r>
    <x v="76"/>
    <x v="28"/>
    <n v="26141200"/>
  </r>
  <r>
    <x v="76"/>
    <x v="59"/>
    <n v="17000000"/>
  </r>
  <r>
    <x v="76"/>
    <x v="10"/>
    <n v="7605000"/>
  </r>
  <r>
    <x v="76"/>
    <x v="8"/>
    <n v="4276040"/>
  </r>
  <r>
    <x v="76"/>
    <x v="55"/>
    <n v="2880000"/>
  </r>
  <r>
    <x v="76"/>
    <x v="92"/>
    <n v="1880000"/>
  </r>
  <r>
    <x v="77"/>
    <x v="3"/>
    <n v="5778489130"/>
  </r>
  <r>
    <x v="77"/>
    <x v="8"/>
    <n v="2392027710"/>
  </r>
  <r>
    <x v="77"/>
    <x v="33"/>
    <n v="27883720"/>
  </r>
  <r>
    <x v="78"/>
    <x v="55"/>
    <n v="63160155620"/>
  </r>
  <r>
    <x v="78"/>
    <x v="9"/>
    <n v="23891592950"/>
  </r>
  <r>
    <x v="78"/>
    <x v="15"/>
    <n v="100020420"/>
  </r>
  <r>
    <x v="78"/>
    <x v="10"/>
    <n v="1832800"/>
  </r>
  <r>
    <x v="79"/>
    <x v="9"/>
    <n v="1864972170"/>
  </r>
  <r>
    <x v="80"/>
    <x v="9"/>
    <n v="542736020"/>
  </r>
  <r>
    <x v="81"/>
    <x v="9"/>
    <n v="83233500"/>
  </r>
  <r>
    <x v="82"/>
    <x v="110"/>
    <n v="1824284795161.7"/>
  </r>
  <r>
    <x v="82"/>
    <x v="2"/>
    <n v="328908316041.20001"/>
  </r>
  <r>
    <x v="82"/>
    <x v="20"/>
    <n v="233720639758.10001"/>
  </r>
  <r>
    <x v="82"/>
    <x v="60"/>
    <n v="218811127324.20001"/>
  </r>
  <r>
    <x v="82"/>
    <x v="45"/>
    <n v="126297291220.39999"/>
  </r>
  <r>
    <x v="82"/>
    <x v="38"/>
    <n v="105076010619.60001"/>
  </r>
  <r>
    <x v="82"/>
    <x v="51"/>
    <n v="96486918957.399994"/>
  </r>
  <r>
    <x v="82"/>
    <x v="40"/>
    <n v="84026677931.600006"/>
  </r>
  <r>
    <x v="82"/>
    <x v="39"/>
    <n v="66679122790.599998"/>
  </r>
  <r>
    <x v="82"/>
    <x v="111"/>
    <n v="65047218621"/>
  </r>
  <r>
    <x v="82"/>
    <x v="41"/>
    <n v="56922165909.099998"/>
  </r>
  <r>
    <x v="82"/>
    <x v="57"/>
    <n v="52038327159.300003"/>
  </r>
  <r>
    <x v="82"/>
    <x v="31"/>
    <n v="44958617178.5"/>
  </r>
  <r>
    <x v="82"/>
    <x v="59"/>
    <n v="38638434388.5"/>
  </r>
  <r>
    <x v="82"/>
    <x v="92"/>
    <n v="31709071650.400002"/>
  </r>
  <r>
    <x v="82"/>
    <x v="13"/>
    <n v="28676993225.799999"/>
  </r>
  <r>
    <x v="82"/>
    <x v="32"/>
    <n v="25111254927.5"/>
  </r>
  <r>
    <x v="82"/>
    <x v="54"/>
    <n v="23366848009"/>
  </r>
  <r>
    <x v="82"/>
    <x v="25"/>
    <n v="23177172380"/>
  </r>
  <r>
    <x v="82"/>
    <x v="47"/>
    <n v="18585841735.799999"/>
  </r>
  <r>
    <x v="82"/>
    <x v="14"/>
    <n v="15167975083.799999"/>
  </r>
  <r>
    <x v="82"/>
    <x v="73"/>
    <n v="13716245293.4"/>
  </r>
  <r>
    <x v="82"/>
    <x v="11"/>
    <n v="11391821021.799999"/>
  </r>
  <r>
    <x v="82"/>
    <x v="9"/>
    <n v="9699521224.7000008"/>
  </r>
  <r>
    <x v="82"/>
    <x v="43"/>
    <n v="8039084192.1999998"/>
  </r>
  <r>
    <x v="82"/>
    <x v="23"/>
    <n v="6390851092.3999996"/>
  </r>
  <r>
    <x v="82"/>
    <x v="12"/>
    <n v="6266096287"/>
  </r>
  <r>
    <x v="82"/>
    <x v="15"/>
    <n v="5673946470.8000002"/>
  </r>
  <r>
    <x v="82"/>
    <x v="48"/>
    <n v="5610010470.6999998"/>
  </r>
  <r>
    <x v="82"/>
    <x v="85"/>
    <n v="5225494057.3000002"/>
  </r>
  <r>
    <x v="82"/>
    <x v="52"/>
    <n v="4906972739"/>
  </r>
  <r>
    <x v="82"/>
    <x v="49"/>
    <n v="4387590919.6000004"/>
  </r>
  <r>
    <x v="82"/>
    <x v="108"/>
    <n v="4298531038.1000004"/>
  </r>
  <r>
    <x v="82"/>
    <x v="112"/>
    <n v="4063353190.9000001"/>
  </r>
  <r>
    <x v="82"/>
    <x v="90"/>
    <n v="3212380620"/>
  </r>
  <r>
    <x v="82"/>
    <x v="93"/>
    <n v="3153905657.4000001"/>
  </r>
  <r>
    <x v="82"/>
    <x v="28"/>
    <n v="2641430560.5"/>
  </r>
  <r>
    <x v="82"/>
    <x v="81"/>
    <n v="1909256267.3"/>
  </r>
  <r>
    <x v="82"/>
    <x v="61"/>
    <n v="1884840163.9000001"/>
  </r>
  <r>
    <x v="82"/>
    <x v="89"/>
    <n v="1733825961.4000001"/>
  </r>
  <r>
    <x v="82"/>
    <x v="113"/>
    <n v="1261353278.4000001"/>
  </r>
  <r>
    <x v="82"/>
    <x v="95"/>
    <n v="1201121483"/>
  </r>
  <r>
    <x v="82"/>
    <x v="83"/>
    <n v="1090061774.0999999"/>
  </r>
  <r>
    <x v="82"/>
    <x v="58"/>
    <n v="1013174430.1"/>
  </r>
  <r>
    <x v="82"/>
    <x v="62"/>
    <n v="846601129.89999998"/>
  </r>
  <r>
    <x v="82"/>
    <x v="46"/>
    <n v="703499813.39999998"/>
  </r>
  <r>
    <x v="82"/>
    <x v="53"/>
    <n v="619974624"/>
  </r>
  <r>
    <x v="82"/>
    <x v="33"/>
    <n v="585526909"/>
  </r>
  <r>
    <x v="82"/>
    <x v="5"/>
    <n v="555806541.10000002"/>
  </r>
  <r>
    <x v="82"/>
    <x v="18"/>
    <n v="504241932.80000001"/>
  </r>
  <r>
    <x v="82"/>
    <x v="80"/>
    <n v="408357796.10000002"/>
  </r>
  <r>
    <x v="82"/>
    <x v="55"/>
    <n v="377921217.5"/>
  </r>
  <r>
    <x v="82"/>
    <x v="114"/>
    <n v="353853339.5"/>
  </r>
  <r>
    <x v="82"/>
    <x v="109"/>
    <n v="346593065.39999998"/>
  </r>
  <r>
    <x v="82"/>
    <x v="21"/>
    <n v="341777775"/>
  </r>
  <r>
    <x v="82"/>
    <x v="88"/>
    <n v="270697495.89999998"/>
  </r>
  <r>
    <x v="82"/>
    <x v="76"/>
    <n v="258726297"/>
  </r>
  <r>
    <x v="82"/>
    <x v="69"/>
    <n v="256045106.19999999"/>
  </r>
  <r>
    <x v="82"/>
    <x v="97"/>
    <n v="254432750.09999999"/>
  </r>
  <r>
    <x v="82"/>
    <x v="64"/>
    <n v="211770390.59999999"/>
  </r>
  <r>
    <x v="82"/>
    <x v="44"/>
    <n v="203905542"/>
  </r>
  <r>
    <x v="82"/>
    <x v="86"/>
    <n v="151025999"/>
  </r>
  <r>
    <x v="82"/>
    <x v="26"/>
    <n v="126630891"/>
  </r>
  <r>
    <x v="82"/>
    <x v="63"/>
    <n v="102378784"/>
  </r>
  <r>
    <x v="82"/>
    <x v="99"/>
    <n v="93567309.299999997"/>
  </r>
  <r>
    <x v="82"/>
    <x v="27"/>
    <n v="86742380.799999997"/>
  </r>
  <r>
    <x v="82"/>
    <x v="4"/>
    <n v="73315195.099999994"/>
  </r>
  <r>
    <x v="82"/>
    <x v="87"/>
    <n v="72817869.5"/>
  </r>
  <r>
    <x v="82"/>
    <x v="72"/>
    <n v="65483365"/>
  </r>
  <r>
    <x v="82"/>
    <x v="42"/>
    <n v="60621676.799999997"/>
  </r>
  <r>
    <x v="82"/>
    <x v="8"/>
    <n v="46182042.299999997"/>
  </r>
  <r>
    <x v="82"/>
    <x v="84"/>
    <n v="40892957.100000001"/>
  </r>
  <r>
    <x v="82"/>
    <x v="115"/>
    <n v="40580530"/>
  </r>
  <r>
    <x v="82"/>
    <x v="96"/>
    <n v="37035028.100000001"/>
  </r>
  <r>
    <x v="82"/>
    <x v="7"/>
    <n v="34350954"/>
  </r>
  <r>
    <x v="82"/>
    <x v="71"/>
    <n v="27700700"/>
  </r>
  <r>
    <x v="82"/>
    <x v="79"/>
    <n v="21898323.600000001"/>
  </r>
  <r>
    <x v="82"/>
    <x v="82"/>
    <n v="20826791"/>
  </r>
  <r>
    <x v="82"/>
    <x v="103"/>
    <n v="17705848"/>
  </r>
  <r>
    <x v="82"/>
    <x v="100"/>
    <n v="16905080"/>
  </r>
  <r>
    <x v="82"/>
    <x v="68"/>
    <n v="16120000"/>
  </r>
  <r>
    <x v="82"/>
    <x v="116"/>
    <n v="15397170"/>
  </r>
  <r>
    <x v="82"/>
    <x v="37"/>
    <n v="12205000"/>
  </r>
  <r>
    <x v="82"/>
    <x v="36"/>
    <n v="9098390"/>
  </r>
  <r>
    <x v="82"/>
    <x v="104"/>
    <n v="8828893"/>
  </r>
  <r>
    <x v="82"/>
    <x v="29"/>
    <n v="8579867"/>
  </r>
  <r>
    <x v="82"/>
    <x v="117"/>
    <n v="7791350"/>
  </r>
  <r>
    <x v="82"/>
    <x v="118"/>
    <n v="4550000"/>
  </r>
  <r>
    <x v="82"/>
    <x v="119"/>
    <n v="3200000"/>
  </r>
  <r>
    <x v="82"/>
    <x v="34"/>
    <n v="2861000"/>
  </r>
  <r>
    <x v="82"/>
    <x v="24"/>
    <n v="2189500"/>
  </r>
  <r>
    <x v="82"/>
    <x v="102"/>
    <n v="2089949"/>
  </r>
  <r>
    <x v="82"/>
    <x v="101"/>
    <n v="2089600"/>
  </r>
  <r>
    <x v="82"/>
    <x v="30"/>
    <n v="1785190"/>
  </r>
  <r>
    <x v="82"/>
    <x v="1"/>
    <n v="990000"/>
  </r>
  <r>
    <x v="82"/>
    <x v="120"/>
    <n v="880000"/>
  </r>
  <r>
    <x v="82"/>
    <x v="91"/>
    <n v="850000"/>
  </r>
  <r>
    <x v="82"/>
    <x v="65"/>
    <n v="700000"/>
  </r>
  <r>
    <x v="82"/>
    <x v="107"/>
    <n v="645284"/>
  </r>
  <r>
    <x v="82"/>
    <x v="6"/>
    <n v="420000"/>
  </r>
  <r>
    <x v="82"/>
    <x v="74"/>
    <n v="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AC4F5-F048-4D2C-B05E-C4419E734BD2}" name="Admin_Pivot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6">
    <pivotField showAll="0"/>
    <pivotField showAll="0"/>
    <pivotField axis="axisRow" showAll="0" sortType="descending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2"/>
  </rowFields>
  <rowItems count="11">
    <i>
      <x v="6"/>
    </i>
    <i>
      <x/>
    </i>
    <i>
      <x v="2"/>
    </i>
    <i>
      <x v="5"/>
    </i>
    <i>
      <x v="3"/>
    </i>
    <i>
      <x v="8"/>
    </i>
    <i>
      <x v="9"/>
    </i>
    <i>
      <x v="7"/>
    </i>
    <i>
      <x v="1"/>
    </i>
    <i>
      <x v="4"/>
    </i>
    <i t="grand">
      <x/>
    </i>
  </rowItems>
  <colItems count="1">
    <i/>
  </colItems>
  <dataFields count="1">
    <dataField name="Sum of Yearly_Spending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437BE-8D50-4F30-BF26-161BC0B138A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83" firstHeaderRow="1" firstDataRow="1" firstDataCol="1"/>
  <pivotFields count="6">
    <pivotField axis="axisRow" showAll="0" sortType="descending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  <pivotField showAll="0"/>
    <pivotField showAll="0"/>
    <pivotField dataField="1" showAll="0"/>
  </pivotFields>
  <rowFields count="2">
    <field x="0"/>
    <field x="2"/>
  </rowFields>
  <rowItems count="180"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Growth_Rel_to_National_Total" fld="5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6C60C-DEC2-474F-AE14-947BFF4BED5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35" firstHeaderRow="1" firstDataRow="1" firstDataCol="1"/>
  <pivotFields count="3">
    <pivotField axis="axisRow" showAll="0">
      <items count="84"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x="11"/>
        <item h="1" x="12"/>
        <item h="1" x="13"/>
        <item h="1" x="14"/>
        <item h="1" x="15"/>
        <item h="1" x="16"/>
        <item h="1" x="17"/>
        <item x="18"/>
        <item h="1" x="19"/>
        <item x="20"/>
        <item x="21"/>
        <item x="22"/>
        <item h="1" x="23"/>
        <item h="1" x="24"/>
        <item h="1" x="25"/>
        <item h="1" x="26"/>
        <item h="1" x="27"/>
        <item h="1" x="28"/>
        <item h="1" x="29"/>
        <item h="1" x="30"/>
        <item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x="82"/>
        <item h="1" x="0"/>
        <item t="default"/>
      </items>
    </pivotField>
    <pivotField axis="axisRow" showAll="0" sortType="descending">
      <items count="122">
        <item h="1" x="2"/>
        <item x="29"/>
        <item h="1" x="8"/>
        <item h="1" x="61"/>
        <item h="1" x="24"/>
        <item h="1" x="15"/>
        <item h="1" x="22"/>
        <item h="1" x="90"/>
        <item h="1" x="13"/>
        <item x="104"/>
        <item x="37"/>
        <item x="79"/>
        <item h="1" x="80"/>
        <item h="1" x="78"/>
        <item h="1" x="94"/>
        <item h="1" x="55"/>
        <item x="101"/>
        <item h="1" x="105"/>
        <item h="1" x="106"/>
        <item h="1" x="42"/>
        <item h="1" x="34"/>
        <item h="1" x="16"/>
        <item h="1" x="35"/>
        <item h="1" x="75"/>
        <item h="1" x="0"/>
        <item h="1" x="18"/>
        <item h="1" x="100"/>
        <item h="1" x="12"/>
        <item h="1" x="82"/>
        <item h="1" x="118"/>
        <item h="1" x="11"/>
        <item h="1" x="85"/>
        <item h="1" x="107"/>
        <item h="1" x="17"/>
        <item h="1" x="49"/>
        <item h="1" x="86"/>
        <item h="1" x="56"/>
        <item h="1" x="103"/>
        <item x="20"/>
        <item h="1" x="50"/>
        <item h="1" x="30"/>
        <item h="1" x="39"/>
        <item h="1" x="102"/>
        <item h="1" x="76"/>
        <item h="1" x="116"/>
        <item h="1" x="19"/>
        <item h="1" x="36"/>
        <item h="1" x="84"/>
        <item h="1" x="120"/>
        <item h="1" x="77"/>
        <item h="1" x="115"/>
        <item h="1" x="119"/>
        <item h="1" x="10"/>
        <item h="1" x="45"/>
        <item h="1" x="112"/>
        <item h="1" x="83"/>
        <item h="1" x="46"/>
        <item h="1" x="87"/>
        <item h="1" x="59"/>
        <item h="1" x="47"/>
        <item h="1" x="108"/>
        <item h="1" x="31"/>
        <item h="1" x="41"/>
        <item h="1" x="109"/>
        <item h="1" x="57"/>
        <item h="1" x="62"/>
        <item h="1" x="71"/>
        <item h="1" x="64"/>
        <item h="1" x="68"/>
        <item h="1" x="70"/>
        <item h="1" x="67"/>
        <item h="1" x="63"/>
        <item h="1" x="66"/>
        <item h="1" x="65"/>
        <item h="1" x="7"/>
        <item h="1" x="74"/>
        <item h="1" x="28"/>
        <item h="1" x="69"/>
        <item h="1" x="25"/>
        <item h="1" x="73"/>
        <item h="1" x="48"/>
        <item h="1" x="92"/>
        <item h="1" x="32"/>
        <item h="1" x="23"/>
        <item h="1" x="91"/>
        <item h="1" x="81"/>
        <item h="1" x="21"/>
        <item h="1" x="27"/>
        <item h="1" x="4"/>
        <item h="1" x="26"/>
        <item h="1" x="5"/>
        <item h="1" x="114"/>
        <item h="1" x="113"/>
        <item h="1" x="93"/>
        <item h="1" x="60"/>
        <item h="1" x="40"/>
        <item x="38"/>
        <item h="1" x="43"/>
        <item h="1" x="53"/>
        <item h="1" x="72"/>
        <item h="1" x="88"/>
        <item h="1" x="58"/>
        <item h="1" x="6"/>
        <item h="1" x="51"/>
        <item h="1" x="1"/>
        <item h="1" x="14"/>
        <item h="1" x="117"/>
        <item h="1" x="89"/>
        <item h="1" x="99"/>
        <item h="1" x="98"/>
        <item x="96"/>
        <item h="1" x="33"/>
        <item x="95"/>
        <item h="1" x="97"/>
        <item h="1" x="44"/>
        <item h="1" x="54"/>
        <item h="1" x="52"/>
        <item h="1" x="9"/>
        <item h="1" x="3"/>
        <item h="1" x="111"/>
        <item x="1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2">
    <field x="0"/>
    <field x="1"/>
  </rowFields>
  <rowItems count="32">
    <i>
      <x v="9"/>
    </i>
    <i r="1">
      <x v="38"/>
    </i>
    <i r="1">
      <x v="10"/>
    </i>
    <i r="1">
      <x v="96"/>
    </i>
    <i>
      <x v="17"/>
    </i>
    <i r="1">
      <x v="96"/>
    </i>
    <i>
      <x v="19"/>
    </i>
    <i r="1">
      <x v="11"/>
    </i>
    <i r="1">
      <x v="112"/>
    </i>
    <i>
      <x v="20"/>
    </i>
    <i r="1">
      <x v="110"/>
    </i>
    <i r="1">
      <x v="112"/>
    </i>
    <i r="1">
      <x v="16"/>
    </i>
    <i>
      <x v="21"/>
    </i>
    <i r="1">
      <x v="38"/>
    </i>
    <i>
      <x v="30"/>
    </i>
    <i r="1">
      <x v="110"/>
    </i>
    <i r="1">
      <x v="112"/>
    </i>
    <i>
      <x v="46"/>
    </i>
    <i r="1">
      <x v="16"/>
    </i>
    <i>
      <x v="81"/>
    </i>
    <i r="1">
      <x v="120"/>
    </i>
    <i r="1">
      <x v="38"/>
    </i>
    <i r="1">
      <x v="96"/>
    </i>
    <i r="1">
      <x v="112"/>
    </i>
    <i r="1">
      <x v="110"/>
    </i>
    <i r="1">
      <x v="11"/>
    </i>
    <i r="1">
      <x v="10"/>
    </i>
    <i r="1">
      <x v="9"/>
    </i>
    <i r="1">
      <x v="1"/>
    </i>
    <i r="1">
      <x v="16"/>
    </i>
    <i t="grand">
      <x/>
    </i>
  </rowItems>
  <colItems count="1">
    <i/>
  </colItems>
  <dataFields count="1">
    <dataField name="Sum of Spending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F26C7-797A-4357-A3D4-A98FF09870E2}" name="Function_Spend_Pivot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6"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axis="axisRow" showAll="0" sortType="de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2"/>
  </rowFields>
  <rowItems count="11">
    <i>
      <x v="7"/>
    </i>
    <i>
      <x v="3"/>
    </i>
    <i>
      <x v="1"/>
    </i>
    <i>
      <x v="5"/>
    </i>
    <i>
      <x v="9"/>
    </i>
    <i>
      <x v="2"/>
    </i>
    <i>
      <x v="4"/>
    </i>
    <i>
      <x v="8"/>
    </i>
    <i>
      <x/>
    </i>
    <i>
      <x v="6"/>
    </i>
    <i t="grand">
      <x/>
    </i>
  </rowItems>
  <colItems count="1">
    <i/>
  </colItems>
  <dataFields count="1">
    <dataField name="Sum of Growth_Rel_to_National_Total" fld="5" baseField="0" baseItem="1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E5A99-47B0-473E-B497-3D79F7E6809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4" firstHeaderRow="1" firstDataRow="1" firstDataCol="1"/>
  <pivotFields count="6">
    <pivotField showAll="0"/>
    <pivotField dataField="1" showAll="0"/>
    <pivotField axis="axisRow" showAll="0" sortType="de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2"/>
  </rowFields>
  <rowItems count="11">
    <i>
      <x v="2"/>
    </i>
    <i>
      <x v="5"/>
    </i>
    <i>
      <x/>
    </i>
    <i>
      <x v="8"/>
    </i>
    <i>
      <x v="4"/>
    </i>
    <i>
      <x v="1"/>
    </i>
    <i>
      <x v="6"/>
    </i>
    <i>
      <x v="3"/>
    </i>
    <i>
      <x v="9"/>
    </i>
    <i>
      <x v="7"/>
    </i>
    <i t="grand">
      <x/>
    </i>
  </rowItems>
  <colItems count="1">
    <i/>
  </colItems>
  <dataFields count="1">
    <dataField name="Average of Yearly_Rank" fld="1" subtotal="average" baseField="2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F4A69F-F571-4C90-82D1-88897623E06A}" name="Admin_Function_Table" displayName="Admin_Function_Table" ref="A1:C1014" totalsRowShown="0">
  <autoFilter ref="A1:C1014" xr:uid="{07F4A69F-F571-4C90-82D1-88897623E06A}"/>
  <tableColumns count="3">
    <tableColumn id="1" xr3:uid="{76CC59AC-0A26-469C-A454-002BD86DC8D1}" name="admin"/>
    <tableColumn id="2" xr3:uid="{C1AE6A22-EAEB-4F28-9825-1FF2CA98B251}" name="func3"/>
    <tableColumn id="3" xr3:uid="{690A0C5C-B232-4A1E-84DC-EB031C0652C4}" name="Spend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416052-13DB-40CC-BE99-13F5F81300BE}" name="Function_Table" displayName="Function_Table" ref="A1:F164" totalsRowShown="0">
  <autoFilter ref="A1:F164" xr:uid="{38416052-13DB-40CC-BE99-13F5F81300BE}"/>
  <tableColumns count="6">
    <tableColumn id="1" xr3:uid="{A4759D60-0CE4-4C3E-B6B3-34007CB91FBE}" name="year"/>
    <tableColumn id="2" xr3:uid="{4586139D-B96A-4BEA-A1A0-E607061BDD40}" name="Yearly_Rank"/>
    <tableColumn id="3" xr3:uid="{C49D698D-8BFC-4514-B92D-EACE982F7DA7}" name="func3"/>
    <tableColumn id="4" xr3:uid="{867FEF8E-6F2C-468E-B5E6-BF9D88C81BCE}" name="Yearly_Spending"/>
    <tableColumn id="5" xr3:uid="{83A81672-5B55-4320-BCBB-308E4E5B07AE}" name="Spending_Increase"/>
    <tableColumn id="6" xr3:uid="{379A393E-51E5-4019-B7C0-B3F4156C4A40}" name="Growth_Rel_to_National_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736221-7E3F-4902-89DF-CE07F0BC0962}" name="Admin_Table" displayName="Admin_Table" ref="A1:F163" totalsRowShown="0">
  <autoFilter ref="A1:F163" xr:uid="{7A736221-7E3F-4902-89DF-CE07F0BC0962}"/>
  <tableColumns count="6">
    <tableColumn id="1" xr3:uid="{75848E56-3DC0-4ABC-8485-BA02125216DB}" name="year"/>
    <tableColumn id="2" xr3:uid="{BEB1D583-92DD-424B-80C6-52C4301A7ACE}" name="Yearly_Rank"/>
    <tableColumn id="3" xr3:uid="{55F250F5-D76C-4B65-A4D5-975813043E7E}" name="admin"/>
    <tableColumn id="4" xr3:uid="{898D5385-BFDC-4E43-AEAB-B2CF1A9BCD07}" name="Yearly_Spending"/>
    <tableColumn id="5" xr3:uid="{4EB5D4EE-E4E5-4720-BD65-BC6DC088FA74}" name="Spending_Increase"/>
    <tableColumn id="6" xr3:uid="{50300A1B-C414-4A2C-A978-006822EBA1D4}" name="Growth_Rel_to_National_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C790-CD3D-4A20-9FFB-14ACC594C24B}">
  <dimension ref="A1:J18"/>
  <sheetViews>
    <sheetView workbookViewId="0">
      <selection activeCell="H21" sqref="H21"/>
    </sheetView>
  </sheetViews>
  <sheetFormatPr defaultRowHeight="15" x14ac:dyDescent="0.25"/>
  <cols>
    <col min="2" max="2" width="14.85546875" customWidth="1"/>
    <col min="4" max="4" width="18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0</v>
      </c>
      <c r="I1" t="s">
        <v>4</v>
      </c>
      <c r="J1" t="s">
        <v>5</v>
      </c>
    </row>
    <row r="2" spans="1:10" x14ac:dyDescent="0.25">
      <c r="A2">
        <v>2006</v>
      </c>
      <c r="B2">
        <v>530596132890</v>
      </c>
      <c r="C2">
        <v>0</v>
      </c>
      <c r="D2">
        <v>0</v>
      </c>
      <c r="E2">
        <f>IF(D2&gt;=0, D2,0)</f>
        <v>0</v>
      </c>
      <c r="F2">
        <f>IF(D2&lt;0, -D2,0)</f>
        <v>0</v>
      </c>
      <c r="H2">
        <v>2006</v>
      </c>
      <c r="I2">
        <v>0</v>
      </c>
      <c r="J2">
        <v>0</v>
      </c>
    </row>
    <row r="3" spans="1:10" x14ac:dyDescent="0.25">
      <c r="A3">
        <v>2007</v>
      </c>
      <c r="B3">
        <v>693256979180</v>
      </c>
      <c r="C3">
        <v>530596132890</v>
      </c>
      <c r="D3">
        <v>30.66</v>
      </c>
      <c r="E3">
        <f t="shared" ref="E3:E18" si="0">IF(D3&gt;=0, D3,0)</f>
        <v>30.66</v>
      </c>
      <c r="F3">
        <f t="shared" ref="F3:F18" si="1">IF(D3&lt;0, -D3,0)</f>
        <v>0</v>
      </c>
      <c r="H3">
        <v>2007</v>
      </c>
      <c r="I3">
        <v>30.66</v>
      </c>
      <c r="J3">
        <v>0</v>
      </c>
    </row>
    <row r="4" spans="1:10" x14ac:dyDescent="0.25">
      <c r="A4">
        <v>2008</v>
      </c>
      <c r="B4">
        <v>896259453440</v>
      </c>
      <c r="C4">
        <v>693256979180</v>
      </c>
      <c r="D4">
        <v>29.28</v>
      </c>
      <c r="E4">
        <f t="shared" si="0"/>
        <v>29.28</v>
      </c>
      <c r="F4">
        <f t="shared" si="1"/>
        <v>0</v>
      </c>
      <c r="H4">
        <v>2008</v>
      </c>
      <c r="I4">
        <v>29.28</v>
      </c>
      <c r="J4">
        <v>0</v>
      </c>
    </row>
    <row r="5" spans="1:10" x14ac:dyDescent="0.25">
      <c r="A5">
        <v>2009</v>
      </c>
      <c r="B5">
        <v>939758709810</v>
      </c>
      <c r="C5">
        <v>896259453440</v>
      </c>
      <c r="D5">
        <v>4.8499999999999996</v>
      </c>
      <c r="E5">
        <f t="shared" si="0"/>
        <v>4.8499999999999996</v>
      </c>
      <c r="F5">
        <f t="shared" si="1"/>
        <v>0</v>
      </c>
      <c r="H5">
        <v>2009</v>
      </c>
      <c r="I5">
        <v>4.8499999999999996</v>
      </c>
      <c r="J5">
        <v>0</v>
      </c>
    </row>
    <row r="6" spans="1:10" x14ac:dyDescent="0.25">
      <c r="A6">
        <v>2010</v>
      </c>
      <c r="B6">
        <v>1153836464616.8</v>
      </c>
      <c r="C6">
        <v>939758709810</v>
      </c>
      <c r="D6">
        <v>22.78</v>
      </c>
      <c r="E6">
        <f t="shared" si="0"/>
        <v>22.78</v>
      </c>
      <c r="F6">
        <f t="shared" si="1"/>
        <v>0</v>
      </c>
      <c r="H6">
        <v>2010</v>
      </c>
      <c r="I6">
        <v>22.78</v>
      </c>
      <c r="J6">
        <v>0</v>
      </c>
    </row>
    <row r="7" spans="1:10" x14ac:dyDescent="0.25">
      <c r="A7">
        <v>2011</v>
      </c>
      <c r="B7">
        <v>1202672567034</v>
      </c>
      <c r="C7">
        <v>1153836464616.8</v>
      </c>
      <c r="D7">
        <v>4.2300000000000004</v>
      </c>
      <c r="E7">
        <f t="shared" si="0"/>
        <v>4.2300000000000004</v>
      </c>
      <c r="F7">
        <f t="shared" si="1"/>
        <v>0</v>
      </c>
      <c r="H7">
        <v>2011</v>
      </c>
      <c r="I7">
        <v>4.2300000000000004</v>
      </c>
      <c r="J7">
        <v>0</v>
      </c>
    </row>
    <row r="8" spans="1:10" x14ac:dyDescent="0.25">
      <c r="A8">
        <v>2012</v>
      </c>
      <c r="B8">
        <v>1228043642325.3999</v>
      </c>
      <c r="C8">
        <v>1202672567034</v>
      </c>
      <c r="D8">
        <v>2.11</v>
      </c>
      <c r="E8">
        <f t="shared" si="0"/>
        <v>2.11</v>
      </c>
      <c r="F8">
        <f t="shared" si="1"/>
        <v>0</v>
      </c>
      <c r="H8">
        <v>2012</v>
      </c>
      <c r="I8">
        <v>2.11</v>
      </c>
      <c r="J8">
        <v>0</v>
      </c>
    </row>
    <row r="9" spans="1:10" x14ac:dyDescent="0.25">
      <c r="A9">
        <v>2013</v>
      </c>
      <c r="B9">
        <v>1373727628058</v>
      </c>
      <c r="C9">
        <v>1228043642325.3999</v>
      </c>
      <c r="D9">
        <v>11.86</v>
      </c>
      <c r="E9">
        <f t="shared" si="0"/>
        <v>11.86</v>
      </c>
      <c r="F9">
        <f t="shared" si="1"/>
        <v>0</v>
      </c>
      <c r="H9">
        <v>2013</v>
      </c>
      <c r="I9">
        <v>11.86</v>
      </c>
      <c r="J9">
        <v>0</v>
      </c>
    </row>
    <row r="10" spans="1:10" x14ac:dyDescent="0.25">
      <c r="A10">
        <v>2014</v>
      </c>
      <c r="B10">
        <v>1496874030292.8</v>
      </c>
      <c r="C10">
        <v>1373727628058</v>
      </c>
      <c r="D10">
        <v>8.9600000000000009</v>
      </c>
      <c r="E10">
        <f t="shared" si="0"/>
        <v>8.9600000000000009</v>
      </c>
      <c r="F10">
        <f t="shared" si="1"/>
        <v>0</v>
      </c>
      <c r="H10">
        <v>2014</v>
      </c>
      <c r="I10">
        <v>8.9600000000000009</v>
      </c>
      <c r="J10">
        <v>0</v>
      </c>
    </row>
    <row r="11" spans="1:10" x14ac:dyDescent="0.25">
      <c r="A11">
        <v>2015</v>
      </c>
      <c r="B11">
        <v>1683565927353</v>
      </c>
      <c r="C11">
        <v>1496874030292.8</v>
      </c>
      <c r="D11">
        <v>12.47</v>
      </c>
      <c r="E11">
        <f t="shared" si="0"/>
        <v>12.47</v>
      </c>
      <c r="F11">
        <f t="shared" si="1"/>
        <v>0</v>
      </c>
      <c r="H11">
        <v>2015</v>
      </c>
      <c r="I11">
        <v>12.47</v>
      </c>
      <c r="J11">
        <v>0</v>
      </c>
    </row>
    <row r="12" spans="1:10" x14ac:dyDescent="0.25">
      <c r="A12">
        <v>2016</v>
      </c>
      <c r="B12">
        <v>1728326495106</v>
      </c>
      <c r="C12">
        <v>1683565927353</v>
      </c>
      <c r="D12">
        <v>2.66</v>
      </c>
      <c r="E12">
        <f t="shared" si="0"/>
        <v>2.66</v>
      </c>
      <c r="F12">
        <f t="shared" si="1"/>
        <v>0</v>
      </c>
      <c r="H12">
        <v>2016</v>
      </c>
      <c r="I12">
        <v>2.66</v>
      </c>
      <c r="J12">
        <v>0</v>
      </c>
    </row>
    <row r="13" spans="1:10" x14ac:dyDescent="0.25">
      <c r="A13">
        <v>2017</v>
      </c>
      <c r="B13">
        <v>1767432026895.6001</v>
      </c>
      <c r="C13">
        <v>1728326495106</v>
      </c>
      <c r="D13">
        <v>2.2599999999999998</v>
      </c>
      <c r="E13">
        <f t="shared" si="0"/>
        <v>2.2599999999999998</v>
      </c>
      <c r="F13">
        <f t="shared" si="1"/>
        <v>0</v>
      </c>
      <c r="H13">
        <v>2017</v>
      </c>
      <c r="I13">
        <v>2.2599999999999998</v>
      </c>
      <c r="J13">
        <v>0</v>
      </c>
    </row>
    <row r="14" spans="1:10" x14ac:dyDescent="0.25">
      <c r="A14">
        <v>2018</v>
      </c>
      <c r="B14">
        <v>1703325075028</v>
      </c>
      <c r="C14">
        <v>1767432026895.6001</v>
      </c>
      <c r="D14">
        <v>-3.63</v>
      </c>
      <c r="E14">
        <f t="shared" si="0"/>
        <v>0</v>
      </c>
      <c r="F14">
        <f t="shared" si="1"/>
        <v>3.63</v>
      </c>
      <c r="H14">
        <v>2018</v>
      </c>
      <c r="I14">
        <v>0</v>
      </c>
      <c r="J14">
        <v>3.63</v>
      </c>
    </row>
    <row r="15" spans="1:10" x14ac:dyDescent="0.25">
      <c r="A15">
        <v>2019</v>
      </c>
      <c r="B15">
        <v>1922690838858.6001</v>
      </c>
      <c r="C15">
        <v>1703325075028</v>
      </c>
      <c r="D15">
        <v>12.88</v>
      </c>
      <c r="E15">
        <f t="shared" si="0"/>
        <v>12.88</v>
      </c>
      <c r="F15">
        <f t="shared" si="1"/>
        <v>0</v>
      </c>
      <c r="H15">
        <v>2019</v>
      </c>
      <c r="I15">
        <v>12.88</v>
      </c>
      <c r="J15">
        <v>0</v>
      </c>
    </row>
    <row r="16" spans="1:10" x14ac:dyDescent="0.25">
      <c r="A16">
        <v>2020</v>
      </c>
      <c r="B16">
        <v>2216894481939.1001</v>
      </c>
      <c r="C16">
        <v>1922690838858.6001</v>
      </c>
      <c r="D16">
        <v>15.3</v>
      </c>
      <c r="E16">
        <f t="shared" si="0"/>
        <v>15.3</v>
      </c>
      <c r="F16">
        <f t="shared" si="1"/>
        <v>0</v>
      </c>
      <c r="H16">
        <v>2020</v>
      </c>
      <c r="I16">
        <v>15.3</v>
      </c>
      <c r="J16">
        <v>0</v>
      </c>
    </row>
    <row r="17" spans="1:10" x14ac:dyDescent="0.25">
      <c r="A17">
        <v>2021</v>
      </c>
      <c r="B17">
        <v>2412722196199</v>
      </c>
      <c r="C17">
        <v>2216894481939.1001</v>
      </c>
      <c r="D17">
        <v>8.83</v>
      </c>
      <c r="E17">
        <f t="shared" si="0"/>
        <v>8.83</v>
      </c>
      <c r="F17">
        <f t="shared" si="1"/>
        <v>0</v>
      </c>
      <c r="H17">
        <v>2021</v>
      </c>
      <c r="I17">
        <v>8.83</v>
      </c>
      <c r="J17">
        <v>0</v>
      </c>
    </row>
    <row r="18" spans="1:10" x14ac:dyDescent="0.25">
      <c r="A18">
        <v>2022</v>
      </c>
      <c r="B18">
        <v>2665080894634.2998</v>
      </c>
      <c r="C18">
        <v>2412722196199</v>
      </c>
      <c r="D18">
        <v>10.46</v>
      </c>
      <c r="E18">
        <f t="shared" si="0"/>
        <v>10.46</v>
      </c>
      <c r="F18">
        <f t="shared" si="1"/>
        <v>0</v>
      </c>
      <c r="H18">
        <v>2022</v>
      </c>
      <c r="I18">
        <v>10.46</v>
      </c>
      <c r="J18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6F32-8D68-4350-92DD-D64809ABC449}">
  <dimension ref="A3:B14"/>
  <sheetViews>
    <sheetView workbookViewId="0">
      <selection activeCell="A18" sqref="A18"/>
    </sheetView>
  </sheetViews>
  <sheetFormatPr defaultRowHeight="15" x14ac:dyDescent="0.25"/>
  <cols>
    <col min="1" max="1" width="76.7109375" bestFit="1" customWidth="1"/>
    <col min="2" max="2" width="23" bestFit="1" customWidth="1"/>
  </cols>
  <sheetData>
    <row r="3" spans="1:2" x14ac:dyDescent="0.25">
      <c r="A3" s="1" t="s">
        <v>31</v>
      </c>
      <c r="B3" t="s">
        <v>33</v>
      </c>
    </row>
    <row r="4" spans="1:2" x14ac:dyDescent="0.25">
      <c r="A4" s="2" t="s">
        <v>14</v>
      </c>
      <c r="B4">
        <v>3683662982340</v>
      </c>
    </row>
    <row r="5" spans="1:2" x14ac:dyDescent="0.25">
      <c r="A5" s="2" t="s">
        <v>16</v>
      </c>
      <c r="B5">
        <v>3624799402910.6001</v>
      </c>
    </row>
    <row r="6" spans="1:2" x14ac:dyDescent="0.25">
      <c r="A6" s="2" t="s">
        <v>15</v>
      </c>
      <c r="B6">
        <v>2948336274700</v>
      </c>
    </row>
    <row r="7" spans="1:2" x14ac:dyDescent="0.25">
      <c r="A7" s="2" t="s">
        <v>9</v>
      </c>
      <c r="B7">
        <v>2769698389700</v>
      </c>
    </row>
    <row r="8" spans="1:2" x14ac:dyDescent="0.25">
      <c r="A8" s="2" t="s">
        <v>12</v>
      </c>
      <c r="B8">
        <v>2371329891710</v>
      </c>
    </row>
    <row r="9" spans="1:2" x14ac:dyDescent="0.25">
      <c r="A9" s="2" t="s">
        <v>13</v>
      </c>
      <c r="B9">
        <v>1384066394610</v>
      </c>
    </row>
    <row r="10" spans="1:2" x14ac:dyDescent="0.25">
      <c r="A10" s="2" t="s">
        <v>7</v>
      </c>
      <c r="B10">
        <v>1159810298670</v>
      </c>
    </row>
    <row r="11" spans="1:2" x14ac:dyDescent="0.25">
      <c r="A11" s="2" t="s">
        <v>10</v>
      </c>
      <c r="B11">
        <v>1080279627090</v>
      </c>
    </row>
    <row r="12" spans="1:2" x14ac:dyDescent="0.25">
      <c r="A12" s="2" t="s">
        <v>11</v>
      </c>
      <c r="B12">
        <v>859264194180</v>
      </c>
    </row>
    <row r="13" spans="1:2" x14ac:dyDescent="0.25">
      <c r="A13" s="2" t="s">
        <v>8</v>
      </c>
      <c r="B13">
        <v>530771504580</v>
      </c>
    </row>
    <row r="14" spans="1:2" x14ac:dyDescent="0.25">
      <c r="A14" s="2" t="s">
        <v>32</v>
      </c>
      <c r="B14">
        <v>20412018960490.602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64572-9566-4A0C-B578-E7FEAA735715}">
  <dimension ref="A3:B183"/>
  <sheetViews>
    <sheetView topLeftCell="A3" workbookViewId="0">
      <selection activeCell="C20" sqref="C20"/>
    </sheetView>
  </sheetViews>
  <sheetFormatPr defaultRowHeight="15" x14ac:dyDescent="0.25"/>
  <cols>
    <col min="1" max="1" width="80.42578125" bestFit="1" customWidth="1"/>
    <col min="2" max="2" width="35.42578125" bestFit="1" customWidth="1"/>
  </cols>
  <sheetData>
    <row r="3" spans="1:2" x14ac:dyDescent="0.25">
      <c r="A3" s="1" t="s">
        <v>31</v>
      </c>
      <c r="B3" t="s">
        <v>34</v>
      </c>
    </row>
    <row r="4" spans="1:2" x14ac:dyDescent="0.25">
      <c r="A4" s="2">
        <v>2019</v>
      </c>
      <c r="B4">
        <v>35.660486953150993</v>
      </c>
    </row>
    <row r="5" spans="1:2" x14ac:dyDescent="0.25">
      <c r="A5" s="3" t="s">
        <v>7</v>
      </c>
      <c r="B5">
        <v>5.1259247336148599</v>
      </c>
    </row>
    <row r="6" spans="1:2" x14ac:dyDescent="0.25">
      <c r="A6" s="3" t="s">
        <v>13</v>
      </c>
      <c r="B6">
        <v>0.92130193643174296</v>
      </c>
    </row>
    <row r="7" spans="1:2" x14ac:dyDescent="0.25">
      <c r="A7" s="3" t="s">
        <v>10</v>
      </c>
      <c r="B7">
        <v>5.0364278714453103</v>
      </c>
    </row>
    <row r="8" spans="1:2" x14ac:dyDescent="0.25">
      <c r="A8" s="3" t="s">
        <v>14</v>
      </c>
      <c r="B8">
        <v>3.4610640501883601</v>
      </c>
    </row>
    <row r="9" spans="1:2" x14ac:dyDescent="0.25">
      <c r="A9" s="3" t="s">
        <v>9</v>
      </c>
      <c r="B9">
        <v>23.081845623889102</v>
      </c>
    </row>
    <row r="10" spans="1:2" x14ac:dyDescent="0.25">
      <c r="A10" s="3" t="s">
        <v>8</v>
      </c>
      <c r="B10">
        <v>-2.2351262049759302</v>
      </c>
    </row>
    <row r="11" spans="1:2" x14ac:dyDescent="0.25">
      <c r="A11" s="3" t="s">
        <v>12</v>
      </c>
      <c r="B11">
        <v>-1.9091713752477899</v>
      </c>
    </row>
    <row r="12" spans="1:2" x14ac:dyDescent="0.25">
      <c r="A12" s="3" t="s">
        <v>11</v>
      </c>
      <c r="B12">
        <v>8.8867496295677695E-2</v>
      </c>
    </row>
    <row r="13" spans="1:2" x14ac:dyDescent="0.25">
      <c r="A13" s="3" t="s">
        <v>16</v>
      </c>
      <c r="B13">
        <v>2.0893528215096602</v>
      </c>
    </row>
    <row r="14" spans="1:2" x14ac:dyDescent="0.25">
      <c r="A14" s="2">
        <v>2008</v>
      </c>
      <c r="B14">
        <v>22.312193630143657</v>
      </c>
    </row>
    <row r="15" spans="1:2" x14ac:dyDescent="0.25">
      <c r="A15" s="3" t="s">
        <v>7</v>
      </c>
      <c r="B15">
        <v>4.0354214241402397E-2</v>
      </c>
    </row>
    <row r="16" spans="1:2" x14ac:dyDescent="0.25">
      <c r="A16" s="3" t="s">
        <v>13</v>
      </c>
      <c r="B16">
        <v>0.42872478334837799</v>
      </c>
    </row>
    <row r="17" spans="1:2" x14ac:dyDescent="0.25">
      <c r="A17" s="3" t="s">
        <v>10</v>
      </c>
      <c r="B17">
        <v>0.70633705181038897</v>
      </c>
    </row>
    <row r="18" spans="1:2" x14ac:dyDescent="0.25">
      <c r="A18" s="3" t="s">
        <v>14</v>
      </c>
      <c r="B18">
        <v>10.465519815717</v>
      </c>
    </row>
    <row r="19" spans="1:2" x14ac:dyDescent="0.25">
      <c r="A19" s="3" t="s">
        <v>9</v>
      </c>
      <c r="B19">
        <v>0.74187025246759297</v>
      </c>
    </row>
    <row r="20" spans="1:2" x14ac:dyDescent="0.25">
      <c r="A20" s="3" t="s">
        <v>8</v>
      </c>
      <c r="B20">
        <v>0.27011683957228899</v>
      </c>
    </row>
    <row r="21" spans="1:2" x14ac:dyDescent="0.25">
      <c r="A21" s="3" t="s">
        <v>12</v>
      </c>
      <c r="B21">
        <v>2.4477185569199298</v>
      </c>
    </row>
    <row r="22" spans="1:2" x14ac:dyDescent="0.25">
      <c r="A22" s="3" t="s">
        <v>15</v>
      </c>
      <c r="B22">
        <v>6.4830896407264298</v>
      </c>
    </row>
    <row r="23" spans="1:2" x14ac:dyDescent="0.25">
      <c r="A23" s="3" t="s">
        <v>11</v>
      </c>
      <c r="B23">
        <v>0.72846247534024799</v>
      </c>
    </row>
    <row r="24" spans="1:2" x14ac:dyDescent="0.25">
      <c r="A24" s="2">
        <v>2020</v>
      </c>
      <c r="B24">
        <v>14.950119181613097</v>
      </c>
    </row>
    <row r="25" spans="1:2" x14ac:dyDescent="0.25">
      <c r="A25" s="3" t="s">
        <v>7</v>
      </c>
      <c r="B25">
        <v>1.7888937512854299</v>
      </c>
    </row>
    <row r="26" spans="1:2" x14ac:dyDescent="0.25">
      <c r="A26" s="3" t="s">
        <v>13</v>
      </c>
      <c r="B26">
        <v>1.99302887394772</v>
      </c>
    </row>
    <row r="27" spans="1:2" x14ac:dyDescent="0.25">
      <c r="A27" s="3" t="s">
        <v>10</v>
      </c>
      <c r="B27">
        <v>1.6250174585887001</v>
      </c>
    </row>
    <row r="28" spans="1:2" x14ac:dyDescent="0.25">
      <c r="A28" s="3" t="s">
        <v>14</v>
      </c>
      <c r="B28">
        <v>3.61052512206121</v>
      </c>
    </row>
    <row r="29" spans="1:2" x14ac:dyDescent="0.25">
      <c r="A29" s="3" t="s">
        <v>9</v>
      </c>
      <c r="B29">
        <v>4.2544288593069304</v>
      </c>
    </row>
    <row r="30" spans="1:2" x14ac:dyDescent="0.25">
      <c r="A30" s="3" t="s">
        <v>8</v>
      </c>
      <c r="B30">
        <v>0.141406862867825</v>
      </c>
    </row>
    <row r="31" spans="1:2" x14ac:dyDescent="0.25">
      <c r="A31" s="3" t="s">
        <v>12</v>
      </c>
      <c r="B31">
        <v>0.29667193696324401</v>
      </c>
    </row>
    <row r="32" spans="1:2" x14ac:dyDescent="0.25">
      <c r="A32" s="3" t="s">
        <v>11</v>
      </c>
      <c r="B32">
        <v>-3.2213794378492103E-2</v>
      </c>
    </row>
    <row r="33" spans="1:2" x14ac:dyDescent="0.25">
      <c r="A33" s="3" t="s">
        <v>16</v>
      </c>
      <c r="B33">
        <v>1.27236011097053</v>
      </c>
    </row>
    <row r="34" spans="1:2" x14ac:dyDescent="0.25">
      <c r="A34" s="2">
        <v>2015</v>
      </c>
      <c r="B34">
        <v>11.29112408143564</v>
      </c>
    </row>
    <row r="35" spans="1:2" x14ac:dyDescent="0.25">
      <c r="A35" s="3" t="s">
        <v>7</v>
      </c>
      <c r="B35">
        <v>1.0588719717099699</v>
      </c>
    </row>
    <row r="36" spans="1:2" x14ac:dyDescent="0.25">
      <c r="A36" s="3" t="s">
        <v>13</v>
      </c>
      <c r="B36">
        <v>0.54245746730921596</v>
      </c>
    </row>
    <row r="37" spans="1:2" x14ac:dyDescent="0.25">
      <c r="A37" s="3" t="s">
        <v>10</v>
      </c>
      <c r="B37">
        <v>0.19979925557704101</v>
      </c>
    </row>
    <row r="38" spans="1:2" x14ac:dyDescent="0.25">
      <c r="A38" s="3" t="s">
        <v>14</v>
      </c>
      <c r="B38">
        <v>0.72446408078456204</v>
      </c>
    </row>
    <row r="39" spans="1:2" x14ac:dyDescent="0.25">
      <c r="A39" s="3" t="s">
        <v>9</v>
      </c>
      <c r="B39">
        <v>5.7291475452731798E-2</v>
      </c>
    </row>
    <row r="40" spans="1:2" x14ac:dyDescent="0.25">
      <c r="A40" s="3" t="s">
        <v>8</v>
      </c>
      <c r="B40">
        <v>0.90402170433144002</v>
      </c>
    </row>
    <row r="41" spans="1:2" x14ac:dyDescent="0.25">
      <c r="A41" s="3" t="s">
        <v>12</v>
      </c>
      <c r="B41">
        <v>4.7422908412935403</v>
      </c>
    </row>
    <row r="42" spans="1:2" x14ac:dyDescent="0.25">
      <c r="A42" s="3" t="s">
        <v>15</v>
      </c>
      <c r="B42">
        <v>1.9719807891454699</v>
      </c>
    </row>
    <row r="43" spans="1:2" x14ac:dyDescent="0.25">
      <c r="A43" s="3" t="s">
        <v>11</v>
      </c>
      <c r="B43">
        <v>0.28461836522991701</v>
      </c>
    </row>
    <row r="44" spans="1:2" x14ac:dyDescent="0.25">
      <c r="A44" s="3" t="s">
        <v>16</v>
      </c>
      <c r="B44">
        <v>0.80532813060175301</v>
      </c>
    </row>
    <row r="45" spans="1:2" x14ac:dyDescent="0.25">
      <c r="A45" s="2">
        <v>2014</v>
      </c>
      <c r="B45">
        <v>10.714655556114316</v>
      </c>
    </row>
    <row r="46" spans="1:2" x14ac:dyDescent="0.25">
      <c r="A46" s="3" t="s">
        <v>7</v>
      </c>
      <c r="B46">
        <v>0.121345293808371</v>
      </c>
    </row>
    <row r="47" spans="1:2" x14ac:dyDescent="0.25">
      <c r="A47" s="3" t="s">
        <v>13</v>
      </c>
      <c r="B47">
        <v>0.69313715316248004</v>
      </c>
    </row>
    <row r="48" spans="1:2" x14ac:dyDescent="0.25">
      <c r="A48" s="3" t="s">
        <v>10</v>
      </c>
      <c r="B48">
        <v>0.30348074908557299</v>
      </c>
    </row>
    <row r="49" spans="1:2" x14ac:dyDescent="0.25">
      <c r="A49" s="3" t="s">
        <v>14</v>
      </c>
      <c r="B49">
        <v>0.42762489831879302</v>
      </c>
    </row>
    <row r="50" spans="1:2" x14ac:dyDescent="0.25">
      <c r="A50" s="3" t="s">
        <v>9</v>
      </c>
      <c r="B50">
        <v>-0.123503967106596</v>
      </c>
    </row>
    <row r="51" spans="1:2" x14ac:dyDescent="0.25">
      <c r="A51" s="3" t="s">
        <v>8</v>
      </c>
      <c r="B51">
        <v>0.81054533277103602</v>
      </c>
    </row>
    <row r="52" spans="1:2" x14ac:dyDescent="0.25">
      <c r="A52" s="3" t="s">
        <v>12</v>
      </c>
      <c r="B52">
        <v>3.10601505464729</v>
      </c>
    </row>
    <row r="53" spans="1:2" x14ac:dyDescent="0.25">
      <c r="A53" s="3" t="s">
        <v>15</v>
      </c>
      <c r="B53">
        <v>2.7952179651226601</v>
      </c>
    </row>
    <row r="54" spans="1:2" x14ac:dyDescent="0.25">
      <c r="A54" s="3" t="s">
        <v>11</v>
      </c>
      <c r="B54">
        <v>0.60286221000405904</v>
      </c>
    </row>
    <row r="55" spans="1:2" x14ac:dyDescent="0.25">
      <c r="A55" s="3" t="s">
        <v>16</v>
      </c>
      <c r="B55">
        <v>1.9779308663006501</v>
      </c>
    </row>
    <row r="56" spans="1:2" x14ac:dyDescent="0.25">
      <c r="A56" s="2">
        <v>2007</v>
      </c>
      <c r="B56">
        <v>10.486465012727169</v>
      </c>
    </row>
    <row r="57" spans="1:2" x14ac:dyDescent="0.25">
      <c r="A57" s="3" t="s">
        <v>7</v>
      </c>
      <c r="B57">
        <v>-5.0192145257819898E-2</v>
      </c>
    </row>
    <row r="58" spans="1:2" x14ac:dyDescent="0.25">
      <c r="A58" s="3" t="s">
        <v>13</v>
      </c>
      <c r="B58">
        <v>0.97078539446662904</v>
      </c>
    </row>
    <row r="59" spans="1:2" x14ac:dyDescent="0.25">
      <c r="A59" s="3" t="s">
        <v>10</v>
      </c>
      <c r="B59">
        <v>0.14552619451351401</v>
      </c>
    </row>
    <row r="60" spans="1:2" x14ac:dyDescent="0.25">
      <c r="A60" s="3" t="s">
        <v>14</v>
      </c>
      <c r="B60">
        <v>3.15605259479387</v>
      </c>
    </row>
    <row r="61" spans="1:2" x14ac:dyDescent="0.25">
      <c r="A61" s="3" t="s">
        <v>9</v>
      </c>
      <c r="B61">
        <v>0.49784755489693699</v>
      </c>
    </row>
    <row r="62" spans="1:2" x14ac:dyDescent="0.25">
      <c r="A62" s="3" t="s">
        <v>8</v>
      </c>
      <c r="B62">
        <v>0.68227621820622197</v>
      </c>
    </row>
    <row r="63" spans="1:2" x14ac:dyDescent="0.25">
      <c r="A63" s="3" t="s">
        <v>12</v>
      </c>
      <c r="B63">
        <v>2.12955400426871</v>
      </c>
    </row>
    <row r="64" spans="1:2" x14ac:dyDescent="0.25">
      <c r="A64" s="3" t="s">
        <v>15</v>
      </c>
      <c r="B64">
        <v>2.3095832484713799</v>
      </c>
    </row>
    <row r="65" spans="1:2" x14ac:dyDescent="0.25">
      <c r="A65" s="3" t="s">
        <v>11</v>
      </c>
      <c r="B65">
        <v>0.64503194836772704</v>
      </c>
    </row>
    <row r="66" spans="1:2" x14ac:dyDescent="0.25">
      <c r="A66" s="2">
        <v>2022</v>
      </c>
      <c r="B66">
        <v>7.3521651886738191</v>
      </c>
    </row>
    <row r="67" spans="1:2" x14ac:dyDescent="0.25">
      <c r="A67" s="3" t="s">
        <v>7</v>
      </c>
      <c r="B67">
        <v>2.7823285686858998</v>
      </c>
    </row>
    <row r="68" spans="1:2" x14ac:dyDescent="0.25">
      <c r="A68" s="3" t="s">
        <v>13</v>
      </c>
      <c r="B68">
        <v>-0.62036037304858804</v>
      </c>
    </row>
    <row r="69" spans="1:2" x14ac:dyDescent="0.25">
      <c r="A69" s="3" t="s">
        <v>10</v>
      </c>
      <c r="B69">
        <v>1.94117228577029</v>
      </c>
    </row>
    <row r="70" spans="1:2" x14ac:dyDescent="0.25">
      <c r="A70" s="3" t="s">
        <v>14</v>
      </c>
      <c r="B70">
        <v>1.3927661285903801</v>
      </c>
    </row>
    <row r="71" spans="1:2" x14ac:dyDescent="0.25">
      <c r="A71" s="3" t="s">
        <v>9</v>
      </c>
      <c r="B71">
        <v>-1.12263500107022</v>
      </c>
    </row>
    <row r="72" spans="1:2" x14ac:dyDescent="0.25">
      <c r="A72" s="3" t="s">
        <v>8</v>
      </c>
      <c r="B72">
        <v>0.51814876005461297</v>
      </c>
    </row>
    <row r="73" spans="1:2" x14ac:dyDescent="0.25">
      <c r="A73" s="3" t="s">
        <v>12</v>
      </c>
      <c r="B73">
        <v>1.2533665239675</v>
      </c>
    </row>
    <row r="74" spans="1:2" x14ac:dyDescent="0.25">
      <c r="A74" s="3" t="s">
        <v>11</v>
      </c>
      <c r="B74">
        <v>0.42579807888184701</v>
      </c>
    </row>
    <row r="75" spans="1:2" x14ac:dyDescent="0.25">
      <c r="A75" s="3" t="s">
        <v>16</v>
      </c>
      <c r="B75">
        <v>0.781580216842097</v>
      </c>
    </row>
    <row r="76" spans="1:2" x14ac:dyDescent="0.25">
      <c r="A76" s="2">
        <v>2021</v>
      </c>
      <c r="B76">
        <v>6.9444010290060323</v>
      </c>
    </row>
    <row r="77" spans="1:2" x14ac:dyDescent="0.25">
      <c r="A77" s="3" t="s">
        <v>7</v>
      </c>
      <c r="B77">
        <v>0.98320942698549296</v>
      </c>
    </row>
    <row r="78" spans="1:2" x14ac:dyDescent="0.25">
      <c r="A78" s="3" t="s">
        <v>13</v>
      </c>
      <c r="B78">
        <v>0.66857261956691305</v>
      </c>
    </row>
    <row r="79" spans="1:2" x14ac:dyDescent="0.25">
      <c r="A79" s="3" t="s">
        <v>10</v>
      </c>
      <c r="B79">
        <v>0.16201177682859899</v>
      </c>
    </row>
    <row r="80" spans="1:2" x14ac:dyDescent="0.25">
      <c r="A80" s="3" t="s">
        <v>14</v>
      </c>
      <c r="B80">
        <v>-2.1000582652998001</v>
      </c>
    </row>
    <row r="81" spans="1:2" x14ac:dyDescent="0.25">
      <c r="A81" s="3" t="s">
        <v>9</v>
      </c>
      <c r="B81">
        <v>2.96305481097765</v>
      </c>
    </row>
    <row r="82" spans="1:2" x14ac:dyDescent="0.25">
      <c r="A82" s="3" t="s">
        <v>8</v>
      </c>
      <c r="B82">
        <v>-7.4566077803497499E-2</v>
      </c>
    </row>
    <row r="83" spans="1:2" x14ac:dyDescent="0.25">
      <c r="A83" s="3" t="s">
        <v>12</v>
      </c>
      <c r="B83">
        <v>0.70203789009296103</v>
      </c>
    </row>
    <row r="84" spans="1:2" x14ac:dyDescent="0.25">
      <c r="A84" s="3" t="s">
        <v>11</v>
      </c>
      <c r="B84">
        <v>6.7654152747943105E-2</v>
      </c>
    </row>
    <row r="85" spans="1:2" x14ac:dyDescent="0.25">
      <c r="A85" s="3" t="s">
        <v>16</v>
      </c>
      <c r="B85">
        <v>3.5724846949097699</v>
      </c>
    </row>
    <row r="86" spans="1:2" x14ac:dyDescent="0.25">
      <c r="A86" s="2">
        <v>2010</v>
      </c>
      <c r="B86">
        <v>5.6475920685728722</v>
      </c>
    </row>
    <row r="87" spans="1:2" x14ac:dyDescent="0.25">
      <c r="A87" s="3" t="s">
        <v>7</v>
      </c>
      <c r="B87">
        <v>2.4547188235558601</v>
      </c>
    </row>
    <row r="88" spans="1:2" x14ac:dyDescent="0.25">
      <c r="A88" s="3" t="s">
        <v>13</v>
      </c>
      <c r="B88">
        <v>4.9385311304860201E-2</v>
      </c>
    </row>
    <row r="89" spans="1:2" x14ac:dyDescent="0.25">
      <c r="A89" s="3" t="s">
        <v>10</v>
      </c>
      <c r="B89">
        <v>9.5059653914150499E-2</v>
      </c>
    </row>
    <row r="90" spans="1:2" x14ac:dyDescent="0.25">
      <c r="A90" s="3" t="s">
        <v>14</v>
      </c>
      <c r="B90">
        <v>1.4694380356258601</v>
      </c>
    </row>
    <row r="91" spans="1:2" x14ac:dyDescent="0.25">
      <c r="A91" s="3" t="s">
        <v>9</v>
      </c>
      <c r="B91">
        <v>0.20581465162731499</v>
      </c>
    </row>
    <row r="92" spans="1:2" x14ac:dyDescent="0.25">
      <c r="A92" s="3" t="s">
        <v>8</v>
      </c>
      <c r="B92">
        <v>-1.37717259830901</v>
      </c>
    </row>
    <row r="93" spans="1:2" x14ac:dyDescent="0.25">
      <c r="A93" s="3" t="s">
        <v>12</v>
      </c>
      <c r="B93">
        <v>2.44621654762609</v>
      </c>
    </row>
    <row r="94" spans="1:2" x14ac:dyDescent="0.25">
      <c r="A94" s="3" t="s">
        <v>15</v>
      </c>
      <c r="B94">
        <v>0.29540501401400898</v>
      </c>
    </row>
    <row r="95" spans="1:2" x14ac:dyDescent="0.25">
      <c r="A95" s="3" t="s">
        <v>11</v>
      </c>
      <c r="B95">
        <v>8.7266292137370104E-3</v>
      </c>
    </row>
    <row r="96" spans="1:2" x14ac:dyDescent="0.25">
      <c r="A96" s="3" t="s">
        <v>16</v>
      </c>
      <c r="B96">
        <v>0</v>
      </c>
    </row>
    <row r="97" spans="1:2" x14ac:dyDescent="0.25">
      <c r="A97" s="2">
        <v>2013</v>
      </c>
      <c r="B97">
        <v>5.1184789856778909</v>
      </c>
    </row>
    <row r="98" spans="1:2" x14ac:dyDescent="0.25">
      <c r="A98" s="3" t="s">
        <v>7</v>
      </c>
      <c r="B98">
        <v>0.310841790816754</v>
      </c>
    </row>
    <row r="99" spans="1:2" x14ac:dyDescent="0.25">
      <c r="A99" s="3" t="s">
        <v>13</v>
      </c>
      <c r="B99">
        <v>-5.5380237280041003E-2</v>
      </c>
    </row>
    <row r="100" spans="1:2" x14ac:dyDescent="0.25">
      <c r="A100" s="3" t="s">
        <v>10</v>
      </c>
      <c r="B100">
        <v>0.14106142370736299</v>
      </c>
    </row>
    <row r="101" spans="1:2" x14ac:dyDescent="0.25">
      <c r="A101" s="3" t="s">
        <v>14</v>
      </c>
      <c r="B101">
        <v>2.2460608471286601</v>
      </c>
    </row>
    <row r="102" spans="1:2" x14ac:dyDescent="0.25">
      <c r="A102" s="3" t="s">
        <v>9</v>
      </c>
      <c r="B102">
        <v>2.9323461345060201E-2</v>
      </c>
    </row>
    <row r="103" spans="1:2" x14ac:dyDescent="0.25">
      <c r="A103" s="3" t="s">
        <v>8</v>
      </c>
      <c r="B103">
        <v>-0.21022323137538801</v>
      </c>
    </row>
    <row r="104" spans="1:2" x14ac:dyDescent="0.25">
      <c r="A104" s="3" t="s">
        <v>12</v>
      </c>
      <c r="B104">
        <v>0.99300157406633005</v>
      </c>
    </row>
    <row r="105" spans="1:2" x14ac:dyDescent="0.25">
      <c r="A105" s="3" t="s">
        <v>15</v>
      </c>
      <c r="B105">
        <v>0.20471268339965801</v>
      </c>
    </row>
    <row r="106" spans="1:2" x14ac:dyDescent="0.25">
      <c r="A106" s="3" t="s">
        <v>11</v>
      </c>
      <c r="B106">
        <v>0.73008014217331796</v>
      </c>
    </row>
    <row r="107" spans="1:2" x14ac:dyDescent="0.25">
      <c r="A107" s="3" t="s">
        <v>16</v>
      </c>
      <c r="B107">
        <v>0.72900053169617696</v>
      </c>
    </row>
    <row r="108" spans="1:2" x14ac:dyDescent="0.25">
      <c r="A108" s="2">
        <v>2012</v>
      </c>
      <c r="B108">
        <v>5.0859560009716898</v>
      </c>
    </row>
    <row r="109" spans="1:2" x14ac:dyDescent="0.25">
      <c r="A109" s="3" t="s">
        <v>7</v>
      </c>
      <c r="B109">
        <v>0.25289852762228399</v>
      </c>
    </row>
    <row r="110" spans="1:2" x14ac:dyDescent="0.25">
      <c r="A110" s="3" t="s">
        <v>13</v>
      </c>
      <c r="B110">
        <v>9.06450822783577E-2</v>
      </c>
    </row>
    <row r="111" spans="1:2" x14ac:dyDescent="0.25">
      <c r="A111" s="3" t="s">
        <v>10</v>
      </c>
      <c r="B111">
        <v>0.20211720532178901</v>
      </c>
    </row>
    <row r="112" spans="1:2" x14ac:dyDescent="0.25">
      <c r="A112" s="3" t="s">
        <v>14</v>
      </c>
      <c r="B112">
        <v>0.694431457163175</v>
      </c>
    </row>
    <row r="113" spans="1:2" x14ac:dyDescent="0.25">
      <c r="A113" s="3" t="s">
        <v>9</v>
      </c>
      <c r="B113">
        <v>0.27772832271186298</v>
      </c>
    </row>
    <row r="114" spans="1:2" x14ac:dyDescent="0.25">
      <c r="A114" s="3" t="s">
        <v>8</v>
      </c>
      <c r="B114">
        <v>0.60776843124784696</v>
      </c>
    </row>
    <row r="115" spans="1:2" x14ac:dyDescent="0.25">
      <c r="A115" s="3" t="s">
        <v>12</v>
      </c>
      <c r="B115">
        <v>0.70204860909295996</v>
      </c>
    </row>
    <row r="116" spans="1:2" x14ac:dyDescent="0.25">
      <c r="A116" s="3" t="s">
        <v>15</v>
      </c>
      <c r="B116">
        <v>1.3491507409807399</v>
      </c>
    </row>
    <row r="117" spans="1:2" x14ac:dyDescent="0.25">
      <c r="A117" s="3" t="s">
        <v>11</v>
      </c>
      <c r="B117">
        <v>0.37035502267555898</v>
      </c>
    </row>
    <row r="118" spans="1:2" x14ac:dyDescent="0.25">
      <c r="A118" s="3" t="s">
        <v>16</v>
      </c>
      <c r="B118">
        <v>0.53881260187711399</v>
      </c>
    </row>
    <row r="119" spans="1:2" x14ac:dyDescent="0.25">
      <c r="A119" s="2">
        <v>2011</v>
      </c>
      <c r="B119">
        <v>2.4908797322183451</v>
      </c>
    </row>
    <row r="120" spans="1:2" x14ac:dyDescent="0.25">
      <c r="A120" s="3" t="s">
        <v>7</v>
      </c>
      <c r="B120">
        <v>1.79038506325149E-2</v>
      </c>
    </row>
    <row r="121" spans="1:2" x14ac:dyDescent="0.25">
      <c r="A121" s="3" t="s">
        <v>13</v>
      </c>
      <c r="B121">
        <v>0.58484898822849396</v>
      </c>
    </row>
    <row r="122" spans="1:2" x14ac:dyDescent="0.25">
      <c r="A122" s="3" t="s">
        <v>10</v>
      </c>
      <c r="B122">
        <v>0.69339882928952201</v>
      </c>
    </row>
    <row r="123" spans="1:2" x14ac:dyDescent="0.25">
      <c r="A123" s="3" t="s">
        <v>14</v>
      </c>
      <c r="B123">
        <v>-0.302155425309312</v>
      </c>
    </row>
    <row r="124" spans="1:2" x14ac:dyDescent="0.25">
      <c r="A124" s="3" t="s">
        <v>9</v>
      </c>
      <c r="B124">
        <v>-0.248985497140332</v>
      </c>
    </row>
    <row r="125" spans="1:2" x14ac:dyDescent="0.25">
      <c r="A125" s="3" t="s">
        <v>8</v>
      </c>
      <c r="B125">
        <v>-0.99859340848010503</v>
      </c>
    </row>
    <row r="126" spans="1:2" x14ac:dyDescent="0.25">
      <c r="A126" s="3" t="s">
        <v>12</v>
      </c>
      <c r="B126">
        <v>0.33490811467774401</v>
      </c>
    </row>
    <row r="127" spans="1:2" x14ac:dyDescent="0.25">
      <c r="A127" s="3" t="s">
        <v>15</v>
      </c>
      <c r="B127">
        <v>1.1434944328959</v>
      </c>
    </row>
    <row r="128" spans="1:2" x14ac:dyDescent="0.25">
      <c r="A128" s="3" t="s">
        <v>11</v>
      </c>
      <c r="B128">
        <v>0.127951691273299</v>
      </c>
    </row>
    <row r="129" spans="1:2" x14ac:dyDescent="0.25">
      <c r="A129" s="3" t="s">
        <v>16</v>
      </c>
      <c r="B129">
        <v>1.1381081561506201</v>
      </c>
    </row>
    <row r="130" spans="1:2" x14ac:dyDescent="0.25">
      <c r="A130" s="2">
        <v>2017</v>
      </c>
      <c r="B130">
        <v>2.3557495420478434</v>
      </c>
    </row>
    <row r="131" spans="1:2" x14ac:dyDescent="0.25">
      <c r="A131" s="3" t="s">
        <v>7</v>
      </c>
      <c r="B131">
        <v>-0.26477507699233399</v>
      </c>
    </row>
    <row r="132" spans="1:2" x14ac:dyDescent="0.25">
      <c r="A132" s="3" t="s">
        <v>13</v>
      </c>
      <c r="B132">
        <v>-0.30399258688534397</v>
      </c>
    </row>
    <row r="133" spans="1:2" x14ac:dyDescent="0.25">
      <c r="A133" s="3" t="s">
        <v>10</v>
      </c>
      <c r="B133">
        <v>5.3049132624741299E-2</v>
      </c>
    </row>
    <row r="134" spans="1:2" x14ac:dyDescent="0.25">
      <c r="A134" s="3" t="s">
        <v>14</v>
      </c>
      <c r="B134">
        <v>4.02517604566426</v>
      </c>
    </row>
    <row r="135" spans="1:2" x14ac:dyDescent="0.25">
      <c r="A135" s="3" t="s">
        <v>9</v>
      </c>
      <c r="B135">
        <v>-2.2828242968340899</v>
      </c>
    </row>
    <row r="136" spans="1:2" x14ac:dyDescent="0.25">
      <c r="A136" s="3" t="s">
        <v>8</v>
      </c>
      <c r="B136">
        <v>0.28099303647468399</v>
      </c>
    </row>
    <row r="137" spans="1:2" x14ac:dyDescent="0.25">
      <c r="A137" s="3" t="s">
        <v>12</v>
      </c>
      <c r="B137">
        <v>-0.78901906256017695</v>
      </c>
    </row>
    <row r="138" spans="1:2" x14ac:dyDescent="0.25">
      <c r="A138" s="3" t="s">
        <v>15</v>
      </c>
      <c r="B138">
        <v>2.2580298666477301</v>
      </c>
    </row>
    <row r="139" spans="1:2" x14ac:dyDescent="0.25">
      <c r="A139" s="3" t="s">
        <v>11</v>
      </c>
      <c r="B139">
        <v>-6.6163859328383395E-2</v>
      </c>
    </row>
    <row r="140" spans="1:2" x14ac:dyDescent="0.25">
      <c r="A140" s="3" t="s">
        <v>16</v>
      </c>
      <c r="B140">
        <v>-0.55472365676324398</v>
      </c>
    </row>
    <row r="141" spans="1:2" x14ac:dyDescent="0.25">
      <c r="A141" s="2">
        <v>2006</v>
      </c>
      <c r="B141">
        <v>0</v>
      </c>
    </row>
    <row r="142" spans="1:2" x14ac:dyDescent="0.25">
      <c r="A142" s="3" t="s">
        <v>7</v>
      </c>
      <c r="B142">
        <v>0</v>
      </c>
    </row>
    <row r="143" spans="1:2" x14ac:dyDescent="0.25">
      <c r="A143" s="3" t="s">
        <v>13</v>
      </c>
      <c r="B143">
        <v>0</v>
      </c>
    </row>
    <row r="144" spans="1:2" x14ac:dyDescent="0.25">
      <c r="A144" s="3" t="s">
        <v>10</v>
      </c>
      <c r="B144">
        <v>0</v>
      </c>
    </row>
    <row r="145" spans="1:2" x14ac:dyDescent="0.25">
      <c r="A145" s="3" t="s">
        <v>14</v>
      </c>
      <c r="B145">
        <v>0</v>
      </c>
    </row>
    <row r="146" spans="1:2" x14ac:dyDescent="0.25">
      <c r="A146" s="3" t="s">
        <v>9</v>
      </c>
      <c r="B146">
        <v>0</v>
      </c>
    </row>
    <row r="147" spans="1:2" x14ac:dyDescent="0.25">
      <c r="A147" s="3" t="s">
        <v>8</v>
      </c>
      <c r="B147">
        <v>0</v>
      </c>
    </row>
    <row r="148" spans="1:2" x14ac:dyDescent="0.25">
      <c r="A148" s="3" t="s">
        <v>12</v>
      </c>
      <c r="B148">
        <v>0</v>
      </c>
    </row>
    <row r="149" spans="1:2" x14ac:dyDescent="0.25">
      <c r="A149" s="3" t="s">
        <v>15</v>
      </c>
      <c r="B149">
        <v>0</v>
      </c>
    </row>
    <row r="150" spans="1:2" x14ac:dyDescent="0.25">
      <c r="A150" s="3" t="s">
        <v>11</v>
      </c>
      <c r="B150">
        <v>0</v>
      </c>
    </row>
    <row r="151" spans="1:2" x14ac:dyDescent="0.25">
      <c r="A151" s="2">
        <v>2009</v>
      </c>
      <c r="B151">
        <v>-0.62112686044486476</v>
      </c>
    </row>
    <row r="152" spans="1:2" x14ac:dyDescent="0.25">
      <c r="A152" s="3" t="s">
        <v>7</v>
      </c>
      <c r="B152">
        <v>2.6594322286252501E-2</v>
      </c>
    </row>
    <row r="153" spans="1:2" x14ac:dyDescent="0.25">
      <c r="A153" s="3" t="s">
        <v>13</v>
      </c>
      <c r="B153">
        <v>0.68579208713085604</v>
      </c>
    </row>
    <row r="154" spans="1:2" x14ac:dyDescent="0.25">
      <c r="A154" s="3" t="s">
        <v>10</v>
      </c>
      <c r="B154">
        <v>2.2859516784200199E-3</v>
      </c>
    </row>
    <row r="155" spans="1:2" x14ac:dyDescent="0.25">
      <c r="A155" s="3" t="s">
        <v>14</v>
      </c>
      <c r="B155">
        <v>-6.94428522117067</v>
      </c>
    </row>
    <row r="156" spans="1:2" x14ac:dyDescent="0.25">
      <c r="A156" s="3" t="s">
        <v>9</v>
      </c>
      <c r="B156">
        <v>0.97685483349827396</v>
      </c>
    </row>
    <row r="157" spans="1:2" x14ac:dyDescent="0.25">
      <c r="A157" s="3" t="s">
        <v>8</v>
      </c>
      <c r="B157">
        <v>2.38220543489575</v>
      </c>
    </row>
    <row r="158" spans="1:2" x14ac:dyDescent="0.25">
      <c r="A158" s="3" t="s">
        <v>12</v>
      </c>
      <c r="B158">
        <v>-0.55433756086743202</v>
      </c>
    </row>
    <row r="159" spans="1:2" x14ac:dyDescent="0.25">
      <c r="A159" s="3" t="s">
        <v>15</v>
      </c>
      <c r="B159">
        <v>2.4585506044068701</v>
      </c>
    </row>
    <row r="160" spans="1:2" x14ac:dyDescent="0.25">
      <c r="A160" s="3" t="s">
        <v>11</v>
      </c>
      <c r="B160">
        <v>0.34521268769681401</v>
      </c>
    </row>
    <row r="161" spans="1:2" x14ac:dyDescent="0.25">
      <c r="A161" s="2">
        <v>2016</v>
      </c>
      <c r="B161">
        <v>-1.3046823878966796</v>
      </c>
    </row>
    <row r="162" spans="1:2" x14ac:dyDescent="0.25">
      <c r="A162" s="3" t="s">
        <v>7</v>
      </c>
      <c r="B162">
        <v>-0.69745676318297101</v>
      </c>
    </row>
    <row r="163" spans="1:2" x14ac:dyDescent="0.25">
      <c r="A163" s="3" t="s">
        <v>13</v>
      </c>
      <c r="B163">
        <v>0.15873690982395899</v>
      </c>
    </row>
    <row r="164" spans="1:2" x14ac:dyDescent="0.25">
      <c r="A164" s="3" t="s">
        <v>10</v>
      </c>
      <c r="B164">
        <v>-1.76852383427272E-2</v>
      </c>
    </row>
    <row r="165" spans="1:2" x14ac:dyDescent="0.25">
      <c r="A165" s="3" t="s">
        <v>14</v>
      </c>
      <c r="B165">
        <v>1.3041393917077899</v>
      </c>
    </row>
    <row r="166" spans="1:2" x14ac:dyDescent="0.25">
      <c r="A166" s="3" t="s">
        <v>9</v>
      </c>
      <c r="B166">
        <v>-0.17263155245542899</v>
      </c>
    </row>
    <row r="167" spans="1:2" x14ac:dyDescent="0.25">
      <c r="A167" s="3" t="s">
        <v>8</v>
      </c>
      <c r="B167">
        <v>-0.24364438906213401</v>
      </c>
    </row>
    <row r="168" spans="1:2" x14ac:dyDescent="0.25">
      <c r="A168" s="3" t="s">
        <v>12</v>
      </c>
      <c r="B168">
        <v>-2.0900487727455999</v>
      </c>
    </row>
    <row r="169" spans="1:2" x14ac:dyDescent="0.25">
      <c r="A169" s="3" t="s">
        <v>15</v>
      </c>
      <c r="B169">
        <v>0.57062291227533002</v>
      </c>
    </row>
    <row r="170" spans="1:2" x14ac:dyDescent="0.25">
      <c r="A170" s="3" t="s">
        <v>11</v>
      </c>
      <c r="B170">
        <v>-5.7347737409951097E-2</v>
      </c>
    </row>
    <row r="171" spans="1:2" x14ac:dyDescent="0.25">
      <c r="A171" s="3" t="s">
        <v>16</v>
      </c>
      <c r="B171">
        <v>-5.93671485049461E-2</v>
      </c>
    </row>
    <row r="172" spans="1:2" x14ac:dyDescent="0.25">
      <c r="A172" s="2">
        <v>2018</v>
      </c>
      <c r="B172">
        <v>-4.5774518757858518</v>
      </c>
    </row>
    <row r="173" spans="1:2" x14ac:dyDescent="0.25">
      <c r="A173" s="3" t="s">
        <v>7</v>
      </c>
      <c r="B173">
        <v>6.6273875524402906E-2</v>
      </c>
    </row>
    <row r="174" spans="1:2" x14ac:dyDescent="0.25">
      <c r="A174" s="3" t="s">
        <v>13</v>
      </c>
      <c r="B174">
        <v>-6.3716710680265104E-2</v>
      </c>
    </row>
    <row r="175" spans="1:2" x14ac:dyDescent="0.25">
      <c r="A175" s="3" t="s">
        <v>10</v>
      </c>
      <c r="B175">
        <v>-0.19946172165311099</v>
      </c>
    </row>
    <row r="176" spans="1:2" x14ac:dyDescent="0.25">
      <c r="A176" s="3" t="s">
        <v>14</v>
      </c>
      <c r="B176">
        <v>-3.16088094159683</v>
      </c>
    </row>
    <row r="177" spans="1:2" x14ac:dyDescent="0.25">
      <c r="A177" s="3" t="s">
        <v>9</v>
      </c>
      <c r="B177">
        <v>-3.85298408167455E-2</v>
      </c>
    </row>
    <row r="178" spans="1:2" x14ac:dyDescent="0.25">
      <c r="A178" s="3" t="s">
        <v>8</v>
      </c>
      <c r="B178">
        <v>-0.42586672657776498</v>
      </c>
    </row>
    <row r="179" spans="1:2" x14ac:dyDescent="0.25">
      <c r="A179" s="3" t="s">
        <v>12</v>
      </c>
      <c r="B179">
        <v>0.156003896082861</v>
      </c>
    </row>
    <row r="180" spans="1:2" x14ac:dyDescent="0.25">
      <c r="A180" s="3" t="s">
        <v>15</v>
      </c>
      <c r="B180">
        <v>-0.38218801480938602</v>
      </c>
    </row>
    <row r="181" spans="1:2" x14ac:dyDescent="0.25">
      <c r="A181" s="3" t="s">
        <v>11</v>
      </c>
      <c r="B181">
        <v>1.3989492874464E-2</v>
      </c>
    </row>
    <row r="182" spans="1:2" x14ac:dyDescent="0.25">
      <c r="A182" s="3" t="s">
        <v>16</v>
      </c>
      <c r="B182">
        <v>-0.543075184133477</v>
      </c>
    </row>
    <row r="183" spans="1:2" x14ac:dyDescent="0.25">
      <c r="A183" s="2" t="s">
        <v>32</v>
      </c>
      <c r="B183">
        <v>133.90700583822596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BA3BD-A404-46AB-ACFB-09D7FAA0C7EE}">
  <dimension ref="A3:B35"/>
  <sheetViews>
    <sheetView tabSelected="1" workbookViewId="0">
      <selection activeCell="A3" sqref="A3"/>
    </sheetView>
  </sheetViews>
  <sheetFormatPr defaultRowHeight="15" x14ac:dyDescent="0.25"/>
  <cols>
    <col min="1" max="1" width="80.7109375" bestFit="1" customWidth="1"/>
    <col min="2" max="2" width="16.28515625" bestFit="1" customWidth="1"/>
  </cols>
  <sheetData>
    <row r="3" spans="1:2" x14ac:dyDescent="0.25">
      <c r="A3" s="1" t="s">
        <v>31</v>
      </c>
      <c r="B3" t="s">
        <v>220</v>
      </c>
    </row>
    <row r="4" spans="1:2" x14ac:dyDescent="0.25">
      <c r="A4" s="2" t="s">
        <v>7</v>
      </c>
      <c r="B4" s="4">
        <v>750108001170</v>
      </c>
    </row>
    <row r="5" spans="1:2" x14ac:dyDescent="0.25">
      <c r="A5" s="3" t="s">
        <v>21</v>
      </c>
      <c r="B5" s="4">
        <v>389146581680</v>
      </c>
    </row>
    <row r="6" spans="1:2" x14ac:dyDescent="0.25">
      <c r="A6" s="3" t="s">
        <v>25</v>
      </c>
      <c r="B6" s="4">
        <v>295577274790</v>
      </c>
    </row>
    <row r="7" spans="1:2" x14ac:dyDescent="0.25">
      <c r="A7" s="3" t="s">
        <v>18</v>
      </c>
      <c r="B7" s="4">
        <v>65384144700</v>
      </c>
    </row>
    <row r="8" spans="1:2" x14ac:dyDescent="0.25">
      <c r="A8" s="2" t="s">
        <v>10</v>
      </c>
      <c r="B8" s="4">
        <v>211258413990</v>
      </c>
    </row>
    <row r="9" spans="1:2" x14ac:dyDescent="0.25">
      <c r="A9" s="3" t="s">
        <v>18</v>
      </c>
      <c r="B9" s="4">
        <v>211258413990</v>
      </c>
    </row>
    <row r="10" spans="1:2" x14ac:dyDescent="0.25">
      <c r="A10" s="2" t="s">
        <v>14</v>
      </c>
      <c r="B10" s="4">
        <v>3223819512500</v>
      </c>
    </row>
    <row r="11" spans="1:2" x14ac:dyDescent="0.25">
      <c r="A11" s="3" t="s">
        <v>26</v>
      </c>
      <c r="B11" s="4">
        <v>3223770800200</v>
      </c>
    </row>
    <row r="12" spans="1:2" x14ac:dyDescent="0.25">
      <c r="A12" s="3" t="s">
        <v>22</v>
      </c>
      <c r="B12" s="4">
        <v>48712300</v>
      </c>
    </row>
    <row r="13" spans="1:2" x14ac:dyDescent="0.25">
      <c r="A13" s="2" t="s">
        <v>9</v>
      </c>
      <c r="B13" s="4">
        <v>2295501229530</v>
      </c>
    </row>
    <row r="14" spans="1:2" x14ac:dyDescent="0.25">
      <c r="A14" s="3" t="s">
        <v>24</v>
      </c>
      <c r="B14" s="4">
        <v>1579260379510</v>
      </c>
    </row>
    <row r="15" spans="1:2" x14ac:dyDescent="0.25">
      <c r="A15" s="3" t="s">
        <v>22</v>
      </c>
      <c r="B15" s="4">
        <v>716227572780</v>
      </c>
    </row>
    <row r="16" spans="1:2" x14ac:dyDescent="0.25">
      <c r="A16" s="3" t="s">
        <v>20</v>
      </c>
      <c r="B16" s="4">
        <v>13277240</v>
      </c>
    </row>
    <row r="17" spans="1:2" x14ac:dyDescent="0.25">
      <c r="A17" s="2" t="s">
        <v>8</v>
      </c>
      <c r="B17" s="4">
        <v>440352938930</v>
      </c>
    </row>
    <row r="18" spans="1:2" x14ac:dyDescent="0.25">
      <c r="A18" s="3" t="s">
        <v>21</v>
      </c>
      <c r="B18" s="4">
        <v>440352938930</v>
      </c>
    </row>
    <row r="19" spans="1:2" x14ac:dyDescent="0.25">
      <c r="A19" s="2" t="s">
        <v>15</v>
      </c>
      <c r="B19" s="4">
        <v>2732642397170</v>
      </c>
    </row>
    <row r="20" spans="1:2" x14ac:dyDescent="0.25">
      <c r="A20" s="3" t="s">
        <v>24</v>
      </c>
      <c r="B20" s="4">
        <v>2544539634280</v>
      </c>
    </row>
    <row r="21" spans="1:2" x14ac:dyDescent="0.25">
      <c r="A21" s="3" t="s">
        <v>22</v>
      </c>
      <c r="B21" s="4">
        <v>188102762890</v>
      </c>
    </row>
    <row r="22" spans="1:2" x14ac:dyDescent="0.25">
      <c r="A22" s="2" t="s">
        <v>11</v>
      </c>
      <c r="B22" s="4">
        <v>836079750790</v>
      </c>
    </row>
    <row r="23" spans="1:2" x14ac:dyDescent="0.25">
      <c r="A23" s="3" t="s">
        <v>20</v>
      </c>
      <c r="B23" s="4">
        <v>836079750790</v>
      </c>
    </row>
    <row r="24" spans="1:2" x14ac:dyDescent="0.25">
      <c r="A24" s="2" t="s">
        <v>16</v>
      </c>
      <c r="B24" s="4">
        <v>2164373203734.1001</v>
      </c>
    </row>
    <row r="25" spans="1:2" x14ac:dyDescent="0.25">
      <c r="A25" s="3" t="s">
        <v>27</v>
      </c>
      <c r="B25" s="4">
        <v>1824284795161.7</v>
      </c>
    </row>
    <row r="26" spans="1:2" x14ac:dyDescent="0.25">
      <c r="A26" s="3" t="s">
        <v>21</v>
      </c>
      <c r="B26" s="4">
        <v>233720639758.10001</v>
      </c>
    </row>
    <row r="27" spans="1:2" x14ac:dyDescent="0.25">
      <c r="A27" s="3" t="s">
        <v>18</v>
      </c>
      <c r="B27" s="4">
        <v>105076010619.60001</v>
      </c>
    </row>
    <row r="28" spans="1:2" x14ac:dyDescent="0.25">
      <c r="A28" s="3" t="s">
        <v>22</v>
      </c>
      <c r="B28" s="4">
        <v>1201121483</v>
      </c>
    </row>
    <row r="29" spans="1:2" x14ac:dyDescent="0.25">
      <c r="A29" s="3" t="s">
        <v>24</v>
      </c>
      <c r="B29" s="4">
        <v>37035028.100000001</v>
      </c>
    </row>
    <row r="30" spans="1:2" x14ac:dyDescent="0.25">
      <c r="A30" s="3" t="s">
        <v>26</v>
      </c>
      <c r="B30" s="4">
        <v>21898323.600000001</v>
      </c>
    </row>
    <row r="31" spans="1:2" x14ac:dyDescent="0.25">
      <c r="A31" s="3" t="s">
        <v>25</v>
      </c>
      <c r="B31" s="4">
        <v>12205000</v>
      </c>
    </row>
    <row r="32" spans="1:2" x14ac:dyDescent="0.25">
      <c r="A32" s="3" t="s">
        <v>23</v>
      </c>
      <c r="B32" s="4">
        <v>8828893</v>
      </c>
    </row>
    <row r="33" spans="1:2" x14ac:dyDescent="0.25">
      <c r="A33" s="3" t="s">
        <v>19</v>
      </c>
      <c r="B33" s="4">
        <v>8579867</v>
      </c>
    </row>
    <row r="34" spans="1:2" x14ac:dyDescent="0.25">
      <c r="A34" s="3" t="s">
        <v>20</v>
      </c>
      <c r="B34" s="4">
        <v>2089600</v>
      </c>
    </row>
    <row r="35" spans="1:2" x14ac:dyDescent="0.25">
      <c r="A35" s="2" t="s">
        <v>32</v>
      </c>
      <c r="B35" s="4">
        <v>12654135447814.098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642B-69CC-4049-B2BC-7969575E2748}">
  <dimension ref="A1:C1014"/>
  <sheetViews>
    <sheetView topLeftCell="A2" workbookViewId="0">
      <selection activeCell="A5" sqref="A5"/>
    </sheetView>
  </sheetViews>
  <sheetFormatPr defaultRowHeight="15" x14ac:dyDescent="0.25"/>
  <cols>
    <col min="1" max="1" width="29.85546875" customWidth="1"/>
    <col min="2" max="2" width="76.140625" customWidth="1"/>
    <col min="3" max="3" width="12.28515625" customWidth="1"/>
  </cols>
  <sheetData>
    <row r="1" spans="1:3" x14ac:dyDescent="0.25">
      <c r="A1" t="s">
        <v>6</v>
      </c>
      <c r="B1" t="s">
        <v>17</v>
      </c>
      <c r="C1" t="s">
        <v>36</v>
      </c>
    </row>
    <row r="2" spans="1:3" x14ac:dyDescent="0.25">
      <c r="A2" t="e">
        <v>#N/A</v>
      </c>
      <c r="B2" t="s">
        <v>37</v>
      </c>
      <c r="C2">
        <v>1002031550</v>
      </c>
    </row>
    <row r="3" spans="1:3" x14ac:dyDescent="0.25">
      <c r="A3" t="e">
        <v>#N/A</v>
      </c>
      <c r="B3" t="s">
        <v>38</v>
      </c>
      <c r="C3">
        <v>12552000</v>
      </c>
    </row>
    <row r="4" spans="1:3" x14ac:dyDescent="0.25">
      <c r="A4" t="s">
        <v>39</v>
      </c>
      <c r="B4" t="s">
        <v>40</v>
      </c>
      <c r="C4">
        <v>44717881670</v>
      </c>
    </row>
    <row r="5" spans="1:3" x14ac:dyDescent="0.25">
      <c r="A5" t="s">
        <v>39</v>
      </c>
      <c r="B5" t="s">
        <v>41</v>
      </c>
      <c r="C5">
        <v>2558711400</v>
      </c>
    </row>
    <row r="6" spans="1:3" x14ac:dyDescent="0.25">
      <c r="A6" t="s">
        <v>39</v>
      </c>
      <c r="B6" t="s">
        <v>42</v>
      </c>
      <c r="C6">
        <v>1997336900</v>
      </c>
    </row>
    <row r="7" spans="1:3" x14ac:dyDescent="0.25">
      <c r="A7" t="s">
        <v>39</v>
      </c>
      <c r="B7" t="s">
        <v>43</v>
      </c>
      <c r="C7">
        <v>1333410350</v>
      </c>
    </row>
    <row r="8" spans="1:3" x14ac:dyDescent="0.25">
      <c r="A8" t="s">
        <v>39</v>
      </c>
      <c r="B8" t="s">
        <v>44</v>
      </c>
      <c r="C8">
        <v>1039532400</v>
      </c>
    </row>
    <row r="9" spans="1:3" x14ac:dyDescent="0.25">
      <c r="A9" t="s">
        <v>39</v>
      </c>
      <c r="B9" t="s">
        <v>45</v>
      </c>
      <c r="C9">
        <v>624565590</v>
      </c>
    </row>
    <row r="10" spans="1:3" x14ac:dyDescent="0.25">
      <c r="A10" t="s">
        <v>39</v>
      </c>
      <c r="B10" t="s">
        <v>46</v>
      </c>
      <c r="C10">
        <v>456369980</v>
      </c>
    </row>
    <row r="11" spans="1:3" x14ac:dyDescent="0.25">
      <c r="A11" t="s">
        <v>39</v>
      </c>
      <c r="B11" t="s">
        <v>47</v>
      </c>
      <c r="C11">
        <v>160780620</v>
      </c>
    </row>
    <row r="12" spans="1:3" x14ac:dyDescent="0.25">
      <c r="A12" t="s">
        <v>39</v>
      </c>
      <c r="B12" t="s">
        <v>48</v>
      </c>
      <c r="C12">
        <v>154847500</v>
      </c>
    </row>
    <row r="13" spans="1:3" x14ac:dyDescent="0.25">
      <c r="A13" t="s">
        <v>49</v>
      </c>
      <c r="B13" t="s">
        <v>40</v>
      </c>
      <c r="C13">
        <v>64946528930</v>
      </c>
    </row>
    <row r="14" spans="1:3" x14ac:dyDescent="0.25">
      <c r="A14" t="s">
        <v>49</v>
      </c>
      <c r="B14" t="s">
        <v>46</v>
      </c>
      <c r="C14">
        <v>2226271140</v>
      </c>
    </row>
    <row r="15" spans="1:3" x14ac:dyDescent="0.25">
      <c r="A15" t="s">
        <v>49</v>
      </c>
      <c r="B15" t="s">
        <v>41</v>
      </c>
      <c r="C15">
        <v>852348540</v>
      </c>
    </row>
    <row r="16" spans="1:3" x14ac:dyDescent="0.25">
      <c r="A16" t="s">
        <v>49</v>
      </c>
      <c r="B16" t="s">
        <v>43</v>
      </c>
      <c r="C16">
        <v>510649700</v>
      </c>
    </row>
    <row r="17" spans="1:3" x14ac:dyDescent="0.25">
      <c r="A17" t="s">
        <v>49</v>
      </c>
      <c r="B17" t="s">
        <v>47</v>
      </c>
      <c r="C17">
        <v>306429180</v>
      </c>
    </row>
    <row r="18" spans="1:3" x14ac:dyDescent="0.25">
      <c r="A18" t="s">
        <v>49</v>
      </c>
      <c r="B18" t="s">
        <v>38</v>
      </c>
      <c r="C18">
        <v>9273290</v>
      </c>
    </row>
    <row r="19" spans="1:3" x14ac:dyDescent="0.25">
      <c r="A19" t="s">
        <v>50</v>
      </c>
      <c r="B19" t="s">
        <v>40</v>
      </c>
      <c r="C19">
        <v>69024889110</v>
      </c>
    </row>
    <row r="20" spans="1:3" x14ac:dyDescent="0.25">
      <c r="A20" t="s">
        <v>50</v>
      </c>
      <c r="B20" t="s">
        <v>51</v>
      </c>
      <c r="C20">
        <v>54314243240</v>
      </c>
    </row>
    <row r="21" spans="1:3" x14ac:dyDescent="0.25">
      <c r="A21" t="s">
        <v>50</v>
      </c>
      <c r="B21" t="s">
        <v>52</v>
      </c>
      <c r="C21">
        <v>36794013510</v>
      </c>
    </row>
    <row r="22" spans="1:3" x14ac:dyDescent="0.25">
      <c r="A22" t="s">
        <v>50</v>
      </c>
      <c r="B22" t="s">
        <v>48</v>
      </c>
      <c r="C22">
        <v>35123585880</v>
      </c>
    </row>
    <row r="23" spans="1:3" x14ac:dyDescent="0.25">
      <c r="A23" t="s">
        <v>50</v>
      </c>
      <c r="B23" t="s">
        <v>53</v>
      </c>
      <c r="C23">
        <v>17328754810</v>
      </c>
    </row>
    <row r="24" spans="1:3" x14ac:dyDescent="0.25">
      <c r="A24" t="s">
        <v>50</v>
      </c>
      <c r="B24" t="s">
        <v>54</v>
      </c>
      <c r="C24">
        <v>13500223270</v>
      </c>
    </row>
    <row r="25" spans="1:3" x14ac:dyDescent="0.25">
      <c r="A25" t="s">
        <v>50</v>
      </c>
      <c r="B25" t="s">
        <v>41</v>
      </c>
      <c r="C25">
        <v>9983300970</v>
      </c>
    </row>
    <row r="26" spans="1:3" x14ac:dyDescent="0.25">
      <c r="A26" t="s">
        <v>50</v>
      </c>
      <c r="B26" t="s">
        <v>55</v>
      </c>
      <c r="C26">
        <v>7436491070</v>
      </c>
    </row>
    <row r="27" spans="1:3" x14ac:dyDescent="0.25">
      <c r="A27" t="s">
        <v>50</v>
      </c>
      <c r="B27" t="s">
        <v>56</v>
      </c>
      <c r="C27">
        <v>6474346770</v>
      </c>
    </row>
    <row r="28" spans="1:3" x14ac:dyDescent="0.25">
      <c r="A28" t="s">
        <v>50</v>
      </c>
      <c r="B28" t="s">
        <v>57</v>
      </c>
      <c r="C28">
        <v>4256286300</v>
      </c>
    </row>
    <row r="29" spans="1:3" x14ac:dyDescent="0.25">
      <c r="A29" t="s">
        <v>50</v>
      </c>
      <c r="B29" t="s">
        <v>58</v>
      </c>
      <c r="C29">
        <v>4002349560</v>
      </c>
    </row>
    <row r="30" spans="1:3" x14ac:dyDescent="0.25">
      <c r="A30" t="s">
        <v>50</v>
      </c>
      <c r="B30" t="s">
        <v>42</v>
      </c>
      <c r="C30">
        <v>3958816260</v>
      </c>
    </row>
    <row r="31" spans="1:3" x14ac:dyDescent="0.25">
      <c r="A31" t="s">
        <v>50</v>
      </c>
      <c r="B31" t="s">
        <v>59</v>
      </c>
      <c r="C31">
        <v>3899335500</v>
      </c>
    </row>
    <row r="32" spans="1:3" x14ac:dyDescent="0.25">
      <c r="A32" t="s">
        <v>50</v>
      </c>
      <c r="B32" t="s">
        <v>21</v>
      </c>
      <c r="C32">
        <v>2721229370</v>
      </c>
    </row>
    <row r="33" spans="1:3" x14ac:dyDescent="0.25">
      <c r="A33" t="s">
        <v>50</v>
      </c>
      <c r="B33" t="s">
        <v>60</v>
      </c>
      <c r="C33">
        <v>2224778600</v>
      </c>
    </row>
    <row r="34" spans="1:3" x14ac:dyDescent="0.25">
      <c r="A34" t="s">
        <v>50</v>
      </c>
      <c r="B34" t="s">
        <v>61</v>
      </c>
      <c r="C34">
        <v>1934975600</v>
      </c>
    </row>
    <row r="35" spans="1:3" x14ac:dyDescent="0.25">
      <c r="A35" t="s">
        <v>50</v>
      </c>
      <c r="B35" t="s">
        <v>46</v>
      </c>
      <c r="C35">
        <v>1879091740</v>
      </c>
    </row>
    <row r="36" spans="1:3" x14ac:dyDescent="0.25">
      <c r="A36" t="s">
        <v>50</v>
      </c>
      <c r="B36" t="s">
        <v>62</v>
      </c>
      <c r="C36">
        <v>1829083480</v>
      </c>
    </row>
    <row r="37" spans="1:3" x14ac:dyDescent="0.25">
      <c r="A37" t="s">
        <v>50</v>
      </c>
      <c r="B37" t="s">
        <v>63</v>
      </c>
      <c r="C37">
        <v>1627451000</v>
      </c>
    </row>
    <row r="38" spans="1:3" x14ac:dyDescent="0.25">
      <c r="A38" t="s">
        <v>50</v>
      </c>
      <c r="B38" t="s">
        <v>64</v>
      </c>
      <c r="C38">
        <v>1329725900</v>
      </c>
    </row>
    <row r="39" spans="1:3" x14ac:dyDescent="0.25">
      <c r="A39" t="s">
        <v>50</v>
      </c>
      <c r="B39" t="s">
        <v>43</v>
      </c>
      <c r="C39">
        <v>956254000</v>
      </c>
    </row>
    <row r="40" spans="1:3" x14ac:dyDescent="0.25">
      <c r="A40" t="s">
        <v>50</v>
      </c>
      <c r="B40" t="s">
        <v>65</v>
      </c>
      <c r="C40">
        <v>688307950</v>
      </c>
    </row>
    <row r="41" spans="1:3" x14ac:dyDescent="0.25">
      <c r="A41" t="s">
        <v>50</v>
      </c>
      <c r="B41" t="s">
        <v>66</v>
      </c>
      <c r="C41">
        <v>583958350</v>
      </c>
    </row>
    <row r="42" spans="1:3" x14ac:dyDescent="0.25">
      <c r="A42" t="s">
        <v>50</v>
      </c>
      <c r="B42" t="s">
        <v>67</v>
      </c>
      <c r="C42">
        <v>476714590</v>
      </c>
    </row>
    <row r="43" spans="1:3" x14ac:dyDescent="0.25">
      <c r="A43" t="s">
        <v>50</v>
      </c>
      <c r="B43" t="s">
        <v>19</v>
      </c>
      <c r="C43">
        <v>321422320</v>
      </c>
    </row>
    <row r="44" spans="1:3" x14ac:dyDescent="0.25">
      <c r="A44" t="s">
        <v>50</v>
      </c>
      <c r="B44" t="s">
        <v>68</v>
      </c>
      <c r="C44">
        <v>200820200</v>
      </c>
    </row>
    <row r="45" spans="1:3" x14ac:dyDescent="0.25">
      <c r="A45" t="s">
        <v>50</v>
      </c>
      <c r="B45" t="s">
        <v>69</v>
      </c>
      <c r="C45">
        <v>199974430</v>
      </c>
    </row>
    <row r="46" spans="1:3" x14ac:dyDescent="0.25">
      <c r="A46" t="s">
        <v>50</v>
      </c>
      <c r="B46" t="s">
        <v>70</v>
      </c>
      <c r="C46">
        <v>175000000</v>
      </c>
    </row>
    <row r="47" spans="1:3" x14ac:dyDescent="0.25">
      <c r="A47" t="s">
        <v>50</v>
      </c>
      <c r="B47" t="s">
        <v>44</v>
      </c>
      <c r="C47">
        <v>155079800</v>
      </c>
    </row>
    <row r="48" spans="1:3" x14ac:dyDescent="0.25">
      <c r="A48" t="s">
        <v>50</v>
      </c>
      <c r="B48" t="s">
        <v>47</v>
      </c>
      <c r="C48">
        <v>142758680</v>
      </c>
    </row>
    <row r="49" spans="1:3" x14ac:dyDescent="0.25">
      <c r="A49" t="s">
        <v>50</v>
      </c>
      <c r="B49" t="s">
        <v>38</v>
      </c>
      <c r="C49">
        <v>29881200</v>
      </c>
    </row>
    <row r="50" spans="1:3" x14ac:dyDescent="0.25">
      <c r="A50" t="s">
        <v>50</v>
      </c>
      <c r="B50" t="s">
        <v>71</v>
      </c>
      <c r="C50">
        <v>17937920</v>
      </c>
    </row>
    <row r="51" spans="1:3" x14ac:dyDescent="0.25">
      <c r="A51" t="s">
        <v>72</v>
      </c>
      <c r="B51" t="s">
        <v>73</v>
      </c>
      <c r="C51">
        <v>8352012860</v>
      </c>
    </row>
    <row r="52" spans="1:3" x14ac:dyDescent="0.25">
      <c r="A52" t="s">
        <v>72</v>
      </c>
      <c r="B52" t="s">
        <v>41</v>
      </c>
      <c r="C52">
        <v>108820330</v>
      </c>
    </row>
    <row r="53" spans="1:3" x14ac:dyDescent="0.25">
      <c r="A53" t="s">
        <v>72</v>
      </c>
      <c r="B53" t="s">
        <v>47</v>
      </c>
      <c r="C53">
        <v>53913970</v>
      </c>
    </row>
    <row r="54" spans="1:3" x14ac:dyDescent="0.25">
      <c r="A54" t="s">
        <v>72</v>
      </c>
      <c r="B54" t="s">
        <v>74</v>
      </c>
      <c r="C54">
        <v>28399500</v>
      </c>
    </row>
    <row r="55" spans="1:3" x14ac:dyDescent="0.25">
      <c r="A55" t="s">
        <v>72</v>
      </c>
      <c r="B55" t="s">
        <v>46</v>
      </c>
      <c r="C55">
        <v>14942880</v>
      </c>
    </row>
    <row r="56" spans="1:3" x14ac:dyDescent="0.25">
      <c r="A56" t="s">
        <v>75</v>
      </c>
      <c r="B56" t="s">
        <v>73</v>
      </c>
      <c r="C56">
        <v>77266858570</v>
      </c>
    </row>
    <row r="57" spans="1:3" x14ac:dyDescent="0.25">
      <c r="A57" t="s">
        <v>75</v>
      </c>
      <c r="B57" t="s">
        <v>41</v>
      </c>
      <c r="C57">
        <v>1918751930</v>
      </c>
    </row>
    <row r="58" spans="1:3" x14ac:dyDescent="0.25">
      <c r="A58" t="s">
        <v>75</v>
      </c>
      <c r="B58" t="s">
        <v>47</v>
      </c>
      <c r="C58">
        <v>1139392520</v>
      </c>
    </row>
    <row r="59" spans="1:3" x14ac:dyDescent="0.25">
      <c r="A59" t="s">
        <v>75</v>
      </c>
      <c r="B59" t="s">
        <v>38</v>
      </c>
      <c r="C59">
        <v>1133025100</v>
      </c>
    </row>
    <row r="60" spans="1:3" x14ac:dyDescent="0.25">
      <c r="A60" t="s">
        <v>75</v>
      </c>
      <c r="B60" t="s">
        <v>74</v>
      </c>
      <c r="C60">
        <v>567199200</v>
      </c>
    </row>
    <row r="61" spans="1:3" x14ac:dyDescent="0.25">
      <c r="A61" t="s">
        <v>75</v>
      </c>
      <c r="B61" t="s">
        <v>56</v>
      </c>
      <c r="C61">
        <v>330159240</v>
      </c>
    </row>
    <row r="62" spans="1:3" x14ac:dyDescent="0.25">
      <c r="A62" t="s">
        <v>75</v>
      </c>
      <c r="B62" t="s">
        <v>46</v>
      </c>
      <c r="C62">
        <v>11727310</v>
      </c>
    </row>
    <row r="63" spans="1:3" x14ac:dyDescent="0.25">
      <c r="A63" t="s">
        <v>76</v>
      </c>
      <c r="B63" t="s">
        <v>38</v>
      </c>
      <c r="C63">
        <v>170431400</v>
      </c>
    </row>
    <row r="64" spans="1:3" x14ac:dyDescent="0.25">
      <c r="A64" t="s">
        <v>77</v>
      </c>
      <c r="B64" t="s">
        <v>73</v>
      </c>
      <c r="C64">
        <v>51090797670</v>
      </c>
    </row>
    <row r="65" spans="1:3" x14ac:dyDescent="0.25">
      <c r="A65" t="s">
        <v>77</v>
      </c>
      <c r="B65" t="s">
        <v>38</v>
      </c>
      <c r="C65">
        <v>37587600</v>
      </c>
    </row>
    <row r="66" spans="1:3" x14ac:dyDescent="0.25">
      <c r="A66" t="s">
        <v>78</v>
      </c>
      <c r="B66" t="s">
        <v>74</v>
      </c>
      <c r="C66">
        <v>58806059240</v>
      </c>
    </row>
    <row r="67" spans="1:3" x14ac:dyDescent="0.25">
      <c r="A67" t="s">
        <v>78</v>
      </c>
      <c r="B67" t="s">
        <v>53</v>
      </c>
      <c r="C67">
        <v>4105416410</v>
      </c>
    </row>
    <row r="68" spans="1:3" x14ac:dyDescent="0.25">
      <c r="A68" t="s">
        <v>78</v>
      </c>
      <c r="B68" t="s">
        <v>41</v>
      </c>
      <c r="C68">
        <v>1122760430</v>
      </c>
    </row>
    <row r="69" spans="1:3" x14ac:dyDescent="0.25">
      <c r="A69" t="s">
        <v>78</v>
      </c>
      <c r="B69" t="s">
        <v>38</v>
      </c>
      <c r="C69">
        <v>862641740</v>
      </c>
    </row>
    <row r="70" spans="1:3" x14ac:dyDescent="0.25">
      <c r="A70" t="s">
        <v>78</v>
      </c>
      <c r="B70" t="s">
        <v>47</v>
      </c>
      <c r="C70">
        <v>210030750</v>
      </c>
    </row>
    <row r="71" spans="1:3" x14ac:dyDescent="0.25">
      <c r="A71" t="s">
        <v>78</v>
      </c>
      <c r="B71" t="s">
        <v>46</v>
      </c>
      <c r="C71">
        <v>208342420</v>
      </c>
    </row>
    <row r="72" spans="1:3" x14ac:dyDescent="0.25">
      <c r="A72" t="s">
        <v>78</v>
      </c>
      <c r="B72" t="s">
        <v>40</v>
      </c>
      <c r="C72">
        <v>65693990</v>
      </c>
    </row>
    <row r="73" spans="1:3" x14ac:dyDescent="0.25">
      <c r="A73" t="s">
        <v>78</v>
      </c>
      <c r="B73" t="s">
        <v>79</v>
      </c>
      <c r="C73">
        <v>1910000</v>
      </c>
    </row>
    <row r="74" spans="1:3" x14ac:dyDescent="0.25">
      <c r="A74" t="s">
        <v>78</v>
      </c>
      <c r="B74" t="s">
        <v>48</v>
      </c>
      <c r="C74">
        <v>230000</v>
      </c>
    </row>
    <row r="75" spans="1:3" x14ac:dyDescent="0.25">
      <c r="A75" t="s">
        <v>80</v>
      </c>
      <c r="B75" t="s">
        <v>37</v>
      </c>
      <c r="C75">
        <v>5069423940</v>
      </c>
    </row>
    <row r="76" spans="1:3" x14ac:dyDescent="0.25">
      <c r="A76" t="s">
        <v>80</v>
      </c>
      <c r="B76" t="s">
        <v>74</v>
      </c>
      <c r="C76">
        <v>1259130480</v>
      </c>
    </row>
    <row r="77" spans="1:3" x14ac:dyDescent="0.25">
      <c r="A77" t="s">
        <v>80</v>
      </c>
      <c r="B77" t="s">
        <v>41</v>
      </c>
      <c r="C77">
        <v>308679480</v>
      </c>
    </row>
    <row r="78" spans="1:3" x14ac:dyDescent="0.25">
      <c r="A78" t="s">
        <v>80</v>
      </c>
      <c r="B78" t="s">
        <v>47</v>
      </c>
      <c r="C78">
        <v>31238630</v>
      </c>
    </row>
    <row r="79" spans="1:3" x14ac:dyDescent="0.25">
      <c r="A79" t="s">
        <v>80</v>
      </c>
      <c r="B79" t="s">
        <v>38</v>
      </c>
      <c r="C79">
        <v>8132190</v>
      </c>
    </row>
    <row r="80" spans="1:3" x14ac:dyDescent="0.25">
      <c r="A80" t="s">
        <v>80</v>
      </c>
      <c r="B80" t="s">
        <v>46</v>
      </c>
      <c r="C80">
        <v>4459790</v>
      </c>
    </row>
    <row r="81" spans="1:3" x14ac:dyDescent="0.25">
      <c r="A81" t="s">
        <v>80</v>
      </c>
      <c r="B81" t="s">
        <v>48</v>
      </c>
      <c r="C81">
        <v>170000</v>
      </c>
    </row>
    <row r="82" spans="1:3" x14ac:dyDescent="0.25">
      <c r="A82" t="s">
        <v>7</v>
      </c>
      <c r="B82" t="s">
        <v>21</v>
      </c>
      <c r="C82">
        <v>389146581680</v>
      </c>
    </row>
    <row r="83" spans="1:3" x14ac:dyDescent="0.25">
      <c r="A83" t="s">
        <v>7</v>
      </c>
      <c r="B83" t="s">
        <v>25</v>
      </c>
      <c r="C83">
        <v>295577274790</v>
      </c>
    </row>
    <row r="84" spans="1:3" x14ac:dyDescent="0.25">
      <c r="A84" t="s">
        <v>7</v>
      </c>
      <c r="B84" t="s">
        <v>18</v>
      </c>
      <c r="C84">
        <v>65384144700</v>
      </c>
    </row>
    <row r="85" spans="1:3" x14ac:dyDescent="0.25">
      <c r="A85" t="s">
        <v>7</v>
      </c>
      <c r="B85" t="s">
        <v>51</v>
      </c>
      <c r="C85">
        <v>64711598050</v>
      </c>
    </row>
    <row r="86" spans="1:3" x14ac:dyDescent="0.25">
      <c r="A86" t="s">
        <v>7</v>
      </c>
      <c r="B86" t="s">
        <v>81</v>
      </c>
      <c r="C86">
        <v>54681015820</v>
      </c>
    </row>
    <row r="87" spans="1:3" x14ac:dyDescent="0.25">
      <c r="A87" t="s">
        <v>7</v>
      </c>
      <c r="B87" t="s">
        <v>82</v>
      </c>
      <c r="C87">
        <v>53909873300</v>
      </c>
    </row>
    <row r="88" spans="1:3" x14ac:dyDescent="0.25">
      <c r="A88" t="s">
        <v>7</v>
      </c>
      <c r="B88" t="s">
        <v>69</v>
      </c>
      <c r="C88">
        <v>48290657410</v>
      </c>
    </row>
    <row r="89" spans="1:3" x14ac:dyDescent="0.25">
      <c r="A89" t="s">
        <v>7</v>
      </c>
      <c r="B89" t="s">
        <v>41</v>
      </c>
      <c r="C89">
        <v>31625204920</v>
      </c>
    </row>
    <row r="90" spans="1:3" x14ac:dyDescent="0.25">
      <c r="A90" t="s">
        <v>7</v>
      </c>
      <c r="B90" t="s">
        <v>83</v>
      </c>
      <c r="C90">
        <v>25140488530</v>
      </c>
    </row>
    <row r="91" spans="1:3" x14ac:dyDescent="0.25">
      <c r="A91" t="s">
        <v>7</v>
      </c>
      <c r="B91" t="s">
        <v>54</v>
      </c>
      <c r="C91">
        <v>24190756550</v>
      </c>
    </row>
    <row r="92" spans="1:3" x14ac:dyDescent="0.25">
      <c r="A92" t="s">
        <v>7</v>
      </c>
      <c r="B92" t="s">
        <v>40</v>
      </c>
      <c r="C92">
        <v>21263006170</v>
      </c>
    </row>
    <row r="93" spans="1:3" x14ac:dyDescent="0.25">
      <c r="A93" t="s">
        <v>7</v>
      </c>
      <c r="B93" t="s">
        <v>48</v>
      </c>
      <c r="C93">
        <v>20375539930</v>
      </c>
    </row>
    <row r="94" spans="1:3" x14ac:dyDescent="0.25">
      <c r="A94" t="s">
        <v>7</v>
      </c>
      <c r="B94" t="s">
        <v>84</v>
      </c>
      <c r="C94">
        <v>7364738600</v>
      </c>
    </row>
    <row r="95" spans="1:3" x14ac:dyDescent="0.25">
      <c r="A95" t="s">
        <v>7</v>
      </c>
      <c r="B95" t="s">
        <v>70</v>
      </c>
      <c r="C95">
        <v>7265041300</v>
      </c>
    </row>
    <row r="96" spans="1:3" x14ac:dyDescent="0.25">
      <c r="A96" t="s">
        <v>7</v>
      </c>
      <c r="B96" t="s">
        <v>85</v>
      </c>
      <c r="C96">
        <v>6044171000</v>
      </c>
    </row>
    <row r="97" spans="1:3" x14ac:dyDescent="0.25">
      <c r="A97" t="s">
        <v>7</v>
      </c>
      <c r="B97" t="s">
        <v>47</v>
      </c>
      <c r="C97">
        <v>5791058700</v>
      </c>
    </row>
    <row r="98" spans="1:3" x14ac:dyDescent="0.25">
      <c r="A98" t="s">
        <v>7</v>
      </c>
      <c r="B98" t="s">
        <v>86</v>
      </c>
      <c r="C98">
        <v>4672590500</v>
      </c>
    </row>
    <row r="99" spans="1:3" x14ac:dyDescent="0.25">
      <c r="A99" t="s">
        <v>7</v>
      </c>
      <c r="B99" t="s">
        <v>68</v>
      </c>
      <c r="C99">
        <v>4295033850</v>
      </c>
    </row>
    <row r="100" spans="1:3" x14ac:dyDescent="0.25">
      <c r="A100" t="s">
        <v>7</v>
      </c>
      <c r="B100" t="s">
        <v>87</v>
      </c>
      <c r="C100">
        <v>3794731490</v>
      </c>
    </row>
    <row r="101" spans="1:3" x14ac:dyDescent="0.25">
      <c r="A101" t="s">
        <v>7</v>
      </c>
      <c r="B101" t="s">
        <v>53</v>
      </c>
      <c r="C101">
        <v>2977012210</v>
      </c>
    </row>
    <row r="102" spans="1:3" x14ac:dyDescent="0.25">
      <c r="A102" t="s">
        <v>7</v>
      </c>
      <c r="B102" t="s">
        <v>55</v>
      </c>
      <c r="C102">
        <v>2972169270</v>
      </c>
    </row>
    <row r="103" spans="1:3" x14ac:dyDescent="0.25">
      <c r="A103" t="s">
        <v>7</v>
      </c>
      <c r="B103" t="s">
        <v>58</v>
      </c>
      <c r="C103">
        <v>2586000100</v>
      </c>
    </row>
    <row r="104" spans="1:3" x14ac:dyDescent="0.25">
      <c r="A104" t="s">
        <v>7</v>
      </c>
      <c r="B104" t="s">
        <v>62</v>
      </c>
      <c r="C104">
        <v>2532780900</v>
      </c>
    </row>
    <row r="105" spans="1:3" x14ac:dyDescent="0.25">
      <c r="A105" t="s">
        <v>7</v>
      </c>
      <c r="B105" t="s">
        <v>88</v>
      </c>
      <c r="C105">
        <v>2316595300</v>
      </c>
    </row>
    <row r="106" spans="1:3" x14ac:dyDescent="0.25">
      <c r="A106" t="s">
        <v>7</v>
      </c>
      <c r="B106" t="s">
        <v>89</v>
      </c>
      <c r="C106">
        <v>2182277260</v>
      </c>
    </row>
    <row r="107" spans="1:3" x14ac:dyDescent="0.25">
      <c r="A107" t="s">
        <v>7</v>
      </c>
      <c r="B107" t="s">
        <v>90</v>
      </c>
      <c r="C107">
        <v>2076341400</v>
      </c>
    </row>
    <row r="108" spans="1:3" x14ac:dyDescent="0.25">
      <c r="A108" t="s">
        <v>7</v>
      </c>
      <c r="B108" t="s">
        <v>91</v>
      </c>
      <c r="C108">
        <v>2055014460</v>
      </c>
    </row>
    <row r="109" spans="1:3" x14ac:dyDescent="0.25">
      <c r="A109" t="s">
        <v>7</v>
      </c>
      <c r="B109" t="s">
        <v>92</v>
      </c>
      <c r="C109">
        <v>1600912640</v>
      </c>
    </row>
    <row r="110" spans="1:3" x14ac:dyDescent="0.25">
      <c r="A110" t="s">
        <v>7</v>
      </c>
      <c r="B110" t="s">
        <v>93</v>
      </c>
      <c r="C110">
        <v>1566017600</v>
      </c>
    </row>
    <row r="111" spans="1:3" x14ac:dyDescent="0.25">
      <c r="A111" t="s">
        <v>7</v>
      </c>
      <c r="B111" t="s">
        <v>94</v>
      </c>
      <c r="C111">
        <v>757702890</v>
      </c>
    </row>
    <row r="112" spans="1:3" x14ac:dyDescent="0.25">
      <c r="A112" t="s">
        <v>7</v>
      </c>
      <c r="B112" t="s">
        <v>38</v>
      </c>
      <c r="C112">
        <v>625281270</v>
      </c>
    </row>
    <row r="113" spans="1:3" x14ac:dyDescent="0.25">
      <c r="A113" t="s">
        <v>7</v>
      </c>
      <c r="B113" t="s">
        <v>95</v>
      </c>
      <c r="C113">
        <v>541154400</v>
      </c>
    </row>
    <row r="114" spans="1:3" x14ac:dyDescent="0.25">
      <c r="A114" t="s">
        <v>7</v>
      </c>
      <c r="B114" t="s">
        <v>96</v>
      </c>
      <c r="C114">
        <v>404770150</v>
      </c>
    </row>
    <row r="115" spans="1:3" x14ac:dyDescent="0.25">
      <c r="A115" t="s">
        <v>7</v>
      </c>
      <c r="B115" t="s">
        <v>97</v>
      </c>
      <c r="C115">
        <v>253650560</v>
      </c>
    </row>
    <row r="116" spans="1:3" x14ac:dyDescent="0.25">
      <c r="A116" t="s">
        <v>7</v>
      </c>
      <c r="B116" t="s">
        <v>98</v>
      </c>
      <c r="C116">
        <v>200390160</v>
      </c>
    </row>
    <row r="117" spans="1:3" x14ac:dyDescent="0.25">
      <c r="A117" t="s">
        <v>7</v>
      </c>
      <c r="B117" t="s">
        <v>46</v>
      </c>
      <c r="C117">
        <v>140211400</v>
      </c>
    </row>
    <row r="118" spans="1:3" x14ac:dyDescent="0.25">
      <c r="A118" t="s">
        <v>7</v>
      </c>
      <c r="B118" t="s">
        <v>52</v>
      </c>
      <c r="C118">
        <v>125701800</v>
      </c>
    </row>
    <row r="119" spans="1:3" x14ac:dyDescent="0.25">
      <c r="A119" t="s">
        <v>7</v>
      </c>
      <c r="B119" t="s">
        <v>99</v>
      </c>
      <c r="C119">
        <v>115057600</v>
      </c>
    </row>
    <row r="120" spans="1:3" x14ac:dyDescent="0.25">
      <c r="A120" t="s">
        <v>7</v>
      </c>
      <c r="B120" t="s">
        <v>57</v>
      </c>
      <c r="C120">
        <v>52783710</v>
      </c>
    </row>
    <row r="121" spans="1:3" x14ac:dyDescent="0.25">
      <c r="A121" t="s">
        <v>7</v>
      </c>
      <c r="B121" t="s">
        <v>100</v>
      </c>
      <c r="C121">
        <v>45277900</v>
      </c>
    </row>
    <row r="122" spans="1:3" x14ac:dyDescent="0.25">
      <c r="A122" t="s">
        <v>7</v>
      </c>
      <c r="B122" t="s">
        <v>79</v>
      </c>
      <c r="C122">
        <v>42400000</v>
      </c>
    </row>
    <row r="123" spans="1:3" x14ac:dyDescent="0.25">
      <c r="A123" t="s">
        <v>7</v>
      </c>
      <c r="B123" t="s">
        <v>101</v>
      </c>
      <c r="C123">
        <v>33500000</v>
      </c>
    </row>
    <row r="124" spans="1:3" x14ac:dyDescent="0.25">
      <c r="A124" t="s">
        <v>7</v>
      </c>
      <c r="B124" t="s">
        <v>102</v>
      </c>
      <c r="C124">
        <v>30270300</v>
      </c>
    </row>
    <row r="125" spans="1:3" x14ac:dyDescent="0.25">
      <c r="A125" t="s">
        <v>7</v>
      </c>
      <c r="B125" t="s">
        <v>103</v>
      </c>
      <c r="C125">
        <v>24959200</v>
      </c>
    </row>
    <row r="126" spans="1:3" x14ac:dyDescent="0.25">
      <c r="A126" t="s">
        <v>7</v>
      </c>
      <c r="B126" t="s">
        <v>64</v>
      </c>
      <c r="C126">
        <v>13158000</v>
      </c>
    </row>
    <row r="127" spans="1:3" x14ac:dyDescent="0.25">
      <c r="A127" t="s">
        <v>7</v>
      </c>
      <c r="B127" t="s">
        <v>67</v>
      </c>
      <c r="C127">
        <v>12714400</v>
      </c>
    </row>
    <row r="128" spans="1:3" x14ac:dyDescent="0.25">
      <c r="A128" t="s">
        <v>7</v>
      </c>
      <c r="B128" t="s">
        <v>71</v>
      </c>
      <c r="C128">
        <v>1700000</v>
      </c>
    </row>
    <row r="129" spans="1:3" x14ac:dyDescent="0.25">
      <c r="A129" t="s">
        <v>7</v>
      </c>
      <c r="B129" t="s">
        <v>104</v>
      </c>
      <c r="C129">
        <v>986500</v>
      </c>
    </row>
    <row r="130" spans="1:3" x14ac:dyDescent="0.25">
      <c r="A130" t="s">
        <v>13</v>
      </c>
      <c r="B130" t="s">
        <v>105</v>
      </c>
      <c r="C130">
        <v>259253398090</v>
      </c>
    </row>
    <row r="131" spans="1:3" x14ac:dyDescent="0.25">
      <c r="A131" t="s">
        <v>13</v>
      </c>
      <c r="B131" t="s">
        <v>106</v>
      </c>
      <c r="C131">
        <v>233855549040</v>
      </c>
    </row>
    <row r="132" spans="1:3" x14ac:dyDescent="0.25">
      <c r="A132" t="s">
        <v>13</v>
      </c>
      <c r="B132" t="s">
        <v>107</v>
      </c>
      <c r="C132">
        <v>220328332760</v>
      </c>
    </row>
    <row r="133" spans="1:3" x14ac:dyDescent="0.25">
      <c r="A133" t="s">
        <v>13</v>
      </c>
      <c r="B133" t="s">
        <v>45</v>
      </c>
      <c r="C133">
        <v>139720995230</v>
      </c>
    </row>
    <row r="134" spans="1:3" x14ac:dyDescent="0.25">
      <c r="A134" t="s">
        <v>13</v>
      </c>
      <c r="B134" t="s">
        <v>108</v>
      </c>
      <c r="C134">
        <v>137125873040</v>
      </c>
    </row>
    <row r="135" spans="1:3" x14ac:dyDescent="0.25">
      <c r="A135" t="s">
        <v>13</v>
      </c>
      <c r="B135" t="s">
        <v>109</v>
      </c>
      <c r="C135">
        <v>98612724340</v>
      </c>
    </row>
    <row r="136" spans="1:3" x14ac:dyDescent="0.25">
      <c r="A136" t="s">
        <v>13</v>
      </c>
      <c r="B136" t="s">
        <v>110</v>
      </c>
      <c r="C136">
        <v>90460946990</v>
      </c>
    </row>
    <row r="137" spans="1:3" x14ac:dyDescent="0.25">
      <c r="A137" t="s">
        <v>13</v>
      </c>
      <c r="B137" t="s">
        <v>67</v>
      </c>
      <c r="C137">
        <v>89443919760</v>
      </c>
    </row>
    <row r="138" spans="1:3" x14ac:dyDescent="0.25">
      <c r="A138" t="s">
        <v>13</v>
      </c>
      <c r="B138" t="s">
        <v>104</v>
      </c>
      <c r="C138">
        <v>47967118320</v>
      </c>
    </row>
    <row r="139" spans="1:3" x14ac:dyDescent="0.25">
      <c r="A139" t="s">
        <v>13</v>
      </c>
      <c r="B139" t="s">
        <v>111</v>
      </c>
      <c r="C139">
        <v>41353531120</v>
      </c>
    </row>
    <row r="140" spans="1:3" x14ac:dyDescent="0.25">
      <c r="A140" t="s">
        <v>13</v>
      </c>
      <c r="B140" t="s">
        <v>112</v>
      </c>
      <c r="C140">
        <v>10398795130</v>
      </c>
    </row>
    <row r="141" spans="1:3" x14ac:dyDescent="0.25">
      <c r="A141" t="s">
        <v>13</v>
      </c>
      <c r="B141" t="s">
        <v>113</v>
      </c>
      <c r="C141">
        <v>5241155100</v>
      </c>
    </row>
    <row r="142" spans="1:3" x14ac:dyDescent="0.25">
      <c r="A142" t="s">
        <v>13</v>
      </c>
      <c r="B142" t="s">
        <v>41</v>
      </c>
      <c r="C142">
        <v>5002368210</v>
      </c>
    </row>
    <row r="143" spans="1:3" x14ac:dyDescent="0.25">
      <c r="A143" t="s">
        <v>13</v>
      </c>
      <c r="B143" t="s">
        <v>114</v>
      </c>
      <c r="C143">
        <v>1747206700</v>
      </c>
    </row>
    <row r="144" spans="1:3" x14ac:dyDescent="0.25">
      <c r="A144" t="s">
        <v>13</v>
      </c>
      <c r="B144" t="s">
        <v>47</v>
      </c>
      <c r="C144">
        <v>1272724410</v>
      </c>
    </row>
    <row r="145" spans="1:3" x14ac:dyDescent="0.25">
      <c r="A145" t="s">
        <v>13</v>
      </c>
      <c r="B145" t="s">
        <v>38</v>
      </c>
      <c r="C145">
        <v>810917600</v>
      </c>
    </row>
    <row r="146" spans="1:3" x14ac:dyDescent="0.25">
      <c r="A146" t="s">
        <v>13</v>
      </c>
      <c r="B146" t="s">
        <v>115</v>
      </c>
      <c r="C146">
        <v>579476300</v>
      </c>
    </row>
    <row r="147" spans="1:3" x14ac:dyDescent="0.25">
      <c r="A147" t="s">
        <v>13</v>
      </c>
      <c r="B147" t="s">
        <v>40</v>
      </c>
      <c r="C147">
        <v>575197980</v>
      </c>
    </row>
    <row r="148" spans="1:3" x14ac:dyDescent="0.25">
      <c r="A148" t="s">
        <v>13</v>
      </c>
      <c r="B148" t="s">
        <v>116</v>
      </c>
      <c r="C148">
        <v>141603400</v>
      </c>
    </row>
    <row r="149" spans="1:3" x14ac:dyDescent="0.25">
      <c r="A149" t="s">
        <v>13</v>
      </c>
      <c r="B149" t="s">
        <v>46</v>
      </c>
      <c r="C149">
        <v>96264230</v>
      </c>
    </row>
    <row r="150" spans="1:3" x14ac:dyDescent="0.25">
      <c r="A150" t="s">
        <v>13</v>
      </c>
      <c r="B150" t="s">
        <v>48</v>
      </c>
      <c r="C150">
        <v>47418580</v>
      </c>
    </row>
    <row r="151" spans="1:3" x14ac:dyDescent="0.25">
      <c r="A151" t="s">
        <v>13</v>
      </c>
      <c r="B151" t="s">
        <v>97</v>
      </c>
      <c r="C151">
        <v>24527680</v>
      </c>
    </row>
    <row r="152" spans="1:3" x14ac:dyDescent="0.25">
      <c r="A152" t="s">
        <v>13</v>
      </c>
      <c r="B152" t="s">
        <v>95</v>
      </c>
      <c r="C152">
        <v>6350600</v>
      </c>
    </row>
    <row r="153" spans="1:3" x14ac:dyDescent="0.25">
      <c r="A153" t="s">
        <v>117</v>
      </c>
      <c r="B153" t="s">
        <v>118</v>
      </c>
      <c r="C153">
        <v>127993612870</v>
      </c>
    </row>
    <row r="154" spans="1:3" x14ac:dyDescent="0.25">
      <c r="A154" t="s">
        <v>117</v>
      </c>
      <c r="B154" t="s">
        <v>73</v>
      </c>
      <c r="C154">
        <v>36386183260</v>
      </c>
    </row>
    <row r="155" spans="1:3" x14ac:dyDescent="0.25">
      <c r="A155" t="s">
        <v>117</v>
      </c>
      <c r="B155" t="s">
        <v>40</v>
      </c>
      <c r="C155">
        <v>19630483950</v>
      </c>
    </row>
    <row r="156" spans="1:3" x14ac:dyDescent="0.25">
      <c r="A156" t="s">
        <v>117</v>
      </c>
      <c r="B156" t="s">
        <v>66</v>
      </c>
      <c r="C156">
        <v>8222730910</v>
      </c>
    </row>
    <row r="157" spans="1:3" x14ac:dyDescent="0.25">
      <c r="A157" t="s">
        <v>117</v>
      </c>
      <c r="B157" t="s">
        <v>56</v>
      </c>
      <c r="C157">
        <v>7050893910</v>
      </c>
    </row>
    <row r="158" spans="1:3" x14ac:dyDescent="0.25">
      <c r="A158" t="s">
        <v>117</v>
      </c>
      <c r="B158" t="s">
        <v>38</v>
      </c>
      <c r="C158">
        <v>6593757470</v>
      </c>
    </row>
    <row r="159" spans="1:3" x14ac:dyDescent="0.25">
      <c r="A159" t="s">
        <v>117</v>
      </c>
      <c r="B159" t="s">
        <v>41</v>
      </c>
      <c r="C159">
        <v>6113562880</v>
      </c>
    </row>
    <row r="160" spans="1:3" x14ac:dyDescent="0.25">
      <c r="A160" t="s">
        <v>117</v>
      </c>
      <c r="B160" t="s">
        <v>103</v>
      </c>
      <c r="C160">
        <v>3717250310</v>
      </c>
    </row>
    <row r="161" spans="1:3" x14ac:dyDescent="0.25">
      <c r="A161" t="s">
        <v>117</v>
      </c>
      <c r="B161" t="s">
        <v>53</v>
      </c>
      <c r="C161">
        <v>3423543600</v>
      </c>
    </row>
    <row r="162" spans="1:3" x14ac:dyDescent="0.25">
      <c r="A162" t="s">
        <v>117</v>
      </c>
      <c r="B162" t="s">
        <v>47</v>
      </c>
      <c r="C162">
        <v>1321391530</v>
      </c>
    </row>
    <row r="163" spans="1:3" x14ac:dyDescent="0.25">
      <c r="A163" t="s">
        <v>117</v>
      </c>
      <c r="B163" t="s">
        <v>37</v>
      </c>
      <c r="C163">
        <v>795155300</v>
      </c>
    </row>
    <row r="164" spans="1:3" x14ac:dyDescent="0.25">
      <c r="A164" t="s">
        <v>117</v>
      </c>
      <c r="B164" t="s">
        <v>104</v>
      </c>
      <c r="C164">
        <v>355954730</v>
      </c>
    </row>
    <row r="165" spans="1:3" x14ac:dyDescent="0.25">
      <c r="A165" t="s">
        <v>117</v>
      </c>
      <c r="B165" t="s">
        <v>93</v>
      </c>
      <c r="C165">
        <v>349081900</v>
      </c>
    </row>
    <row r="166" spans="1:3" x14ac:dyDescent="0.25">
      <c r="A166" t="s">
        <v>117</v>
      </c>
      <c r="B166" t="s">
        <v>46</v>
      </c>
      <c r="C166">
        <v>182961490</v>
      </c>
    </row>
    <row r="167" spans="1:3" x14ac:dyDescent="0.25">
      <c r="A167" t="s">
        <v>117</v>
      </c>
      <c r="B167" t="s">
        <v>48</v>
      </c>
      <c r="C167">
        <v>31354250</v>
      </c>
    </row>
    <row r="168" spans="1:3" x14ac:dyDescent="0.25">
      <c r="A168" t="s">
        <v>117</v>
      </c>
      <c r="B168" t="s">
        <v>71</v>
      </c>
      <c r="C168">
        <v>3977410</v>
      </c>
    </row>
    <row r="169" spans="1:3" x14ac:dyDescent="0.25">
      <c r="A169" t="s">
        <v>119</v>
      </c>
      <c r="B169" t="s">
        <v>58</v>
      </c>
      <c r="C169">
        <v>78868608940</v>
      </c>
    </row>
    <row r="170" spans="1:3" x14ac:dyDescent="0.25">
      <c r="A170" t="s">
        <v>119</v>
      </c>
      <c r="B170" t="s">
        <v>52</v>
      </c>
      <c r="C170">
        <v>69764695400</v>
      </c>
    </row>
    <row r="171" spans="1:3" x14ac:dyDescent="0.25">
      <c r="A171" t="s">
        <v>119</v>
      </c>
      <c r="B171" t="s">
        <v>48</v>
      </c>
      <c r="C171">
        <v>14967034720</v>
      </c>
    </row>
    <row r="172" spans="1:3" x14ac:dyDescent="0.25">
      <c r="A172" t="s">
        <v>119</v>
      </c>
      <c r="B172" t="s">
        <v>45</v>
      </c>
      <c r="C172">
        <v>5792486940</v>
      </c>
    </row>
    <row r="173" spans="1:3" x14ac:dyDescent="0.25">
      <c r="A173" t="s">
        <v>119</v>
      </c>
      <c r="B173" t="s">
        <v>41</v>
      </c>
      <c r="C173">
        <v>3967426970</v>
      </c>
    </row>
    <row r="174" spans="1:3" x14ac:dyDescent="0.25">
      <c r="A174" t="s">
        <v>119</v>
      </c>
      <c r="B174" t="s">
        <v>120</v>
      </c>
      <c r="C174">
        <v>1990700210</v>
      </c>
    </row>
    <row r="175" spans="1:3" x14ac:dyDescent="0.25">
      <c r="A175" t="s">
        <v>119</v>
      </c>
      <c r="B175" t="s">
        <v>61</v>
      </c>
      <c r="C175">
        <v>1887006800</v>
      </c>
    </row>
    <row r="176" spans="1:3" x14ac:dyDescent="0.25">
      <c r="A176" t="s">
        <v>119</v>
      </c>
      <c r="B176" t="s">
        <v>115</v>
      </c>
      <c r="C176">
        <v>1595822700</v>
      </c>
    </row>
    <row r="177" spans="1:3" x14ac:dyDescent="0.25">
      <c r="A177" t="s">
        <v>119</v>
      </c>
      <c r="B177" t="s">
        <v>63</v>
      </c>
      <c r="C177">
        <v>1121970280</v>
      </c>
    </row>
    <row r="178" spans="1:3" x14ac:dyDescent="0.25">
      <c r="A178" t="s">
        <v>119</v>
      </c>
      <c r="B178" t="s">
        <v>40</v>
      </c>
      <c r="C178">
        <v>848719870</v>
      </c>
    </row>
    <row r="179" spans="1:3" x14ac:dyDescent="0.25">
      <c r="A179" t="s">
        <v>119</v>
      </c>
      <c r="B179" t="s">
        <v>46</v>
      </c>
      <c r="C179">
        <v>625026200</v>
      </c>
    </row>
    <row r="180" spans="1:3" x14ac:dyDescent="0.25">
      <c r="A180" t="s">
        <v>119</v>
      </c>
      <c r="B180" t="s">
        <v>47</v>
      </c>
      <c r="C180">
        <v>183789570</v>
      </c>
    </row>
    <row r="181" spans="1:3" x14ac:dyDescent="0.25">
      <c r="A181" t="s">
        <v>119</v>
      </c>
      <c r="B181" t="s">
        <v>53</v>
      </c>
      <c r="C181">
        <v>149482560</v>
      </c>
    </row>
    <row r="182" spans="1:3" x14ac:dyDescent="0.25">
      <c r="A182" t="s">
        <v>119</v>
      </c>
      <c r="B182" t="s">
        <v>121</v>
      </c>
      <c r="C182">
        <v>86441100</v>
      </c>
    </row>
    <row r="183" spans="1:3" x14ac:dyDescent="0.25">
      <c r="A183" t="s">
        <v>119</v>
      </c>
      <c r="B183" t="s">
        <v>79</v>
      </c>
      <c r="C183">
        <v>62255000</v>
      </c>
    </row>
    <row r="184" spans="1:3" x14ac:dyDescent="0.25">
      <c r="A184" t="s">
        <v>119</v>
      </c>
      <c r="B184" t="s">
        <v>19</v>
      </c>
      <c r="C184">
        <v>32856000</v>
      </c>
    </row>
    <row r="185" spans="1:3" x14ac:dyDescent="0.25">
      <c r="A185" t="s">
        <v>119</v>
      </c>
      <c r="B185" t="s">
        <v>97</v>
      </c>
      <c r="C185">
        <v>20112000</v>
      </c>
    </row>
    <row r="186" spans="1:3" x14ac:dyDescent="0.25">
      <c r="A186" t="s">
        <v>119</v>
      </c>
      <c r="B186" t="s">
        <v>71</v>
      </c>
      <c r="C186">
        <v>3976690</v>
      </c>
    </row>
    <row r="187" spans="1:3" x14ac:dyDescent="0.25">
      <c r="A187" t="s">
        <v>122</v>
      </c>
      <c r="B187" t="s">
        <v>46</v>
      </c>
      <c r="C187">
        <v>198152917110</v>
      </c>
    </row>
    <row r="188" spans="1:3" x14ac:dyDescent="0.25">
      <c r="A188" t="s">
        <v>122</v>
      </c>
      <c r="B188" t="s">
        <v>41</v>
      </c>
      <c r="C188">
        <v>3240015660</v>
      </c>
    </row>
    <row r="189" spans="1:3" x14ac:dyDescent="0.25">
      <c r="A189" t="s">
        <v>122</v>
      </c>
      <c r="B189" t="s">
        <v>40</v>
      </c>
      <c r="C189">
        <v>2111144530</v>
      </c>
    </row>
    <row r="190" spans="1:3" x14ac:dyDescent="0.25">
      <c r="A190" t="s">
        <v>122</v>
      </c>
      <c r="B190" t="s">
        <v>123</v>
      </c>
      <c r="C190">
        <v>897802110</v>
      </c>
    </row>
    <row r="191" spans="1:3" x14ac:dyDescent="0.25">
      <c r="A191" t="s">
        <v>122</v>
      </c>
      <c r="B191" t="s">
        <v>38</v>
      </c>
      <c r="C191">
        <v>856592800</v>
      </c>
    </row>
    <row r="192" spans="1:3" x14ac:dyDescent="0.25">
      <c r="A192" t="s">
        <v>122</v>
      </c>
      <c r="B192" t="s">
        <v>26</v>
      </c>
      <c r="C192">
        <v>787534820</v>
      </c>
    </row>
    <row r="193" spans="1:3" x14ac:dyDescent="0.25">
      <c r="A193" t="s">
        <v>122</v>
      </c>
      <c r="B193" t="s">
        <v>66</v>
      </c>
      <c r="C193">
        <v>676461640</v>
      </c>
    </row>
    <row r="194" spans="1:3" x14ac:dyDescent="0.25">
      <c r="A194" t="s">
        <v>122</v>
      </c>
      <c r="B194" t="s">
        <v>48</v>
      </c>
      <c r="C194">
        <v>570008070</v>
      </c>
    </row>
    <row r="195" spans="1:3" x14ac:dyDescent="0.25">
      <c r="A195" t="s">
        <v>122</v>
      </c>
      <c r="B195" t="s">
        <v>58</v>
      </c>
      <c r="C195">
        <v>441391510</v>
      </c>
    </row>
    <row r="196" spans="1:3" x14ac:dyDescent="0.25">
      <c r="A196" t="s">
        <v>122</v>
      </c>
      <c r="B196" t="s">
        <v>62</v>
      </c>
      <c r="C196">
        <v>434768850</v>
      </c>
    </row>
    <row r="197" spans="1:3" x14ac:dyDescent="0.25">
      <c r="A197" t="s">
        <v>122</v>
      </c>
      <c r="B197" t="s">
        <v>124</v>
      </c>
      <c r="C197">
        <v>373247800</v>
      </c>
    </row>
    <row r="198" spans="1:3" x14ac:dyDescent="0.25">
      <c r="A198" t="s">
        <v>122</v>
      </c>
      <c r="B198" t="s">
        <v>54</v>
      </c>
      <c r="C198">
        <v>119618090</v>
      </c>
    </row>
    <row r="199" spans="1:3" x14ac:dyDescent="0.25">
      <c r="A199" t="s">
        <v>122</v>
      </c>
      <c r="B199" t="s">
        <v>47</v>
      </c>
      <c r="C199">
        <v>112685730</v>
      </c>
    </row>
    <row r="200" spans="1:3" x14ac:dyDescent="0.25">
      <c r="A200" t="s">
        <v>122</v>
      </c>
      <c r="B200" t="s">
        <v>125</v>
      </c>
      <c r="C200">
        <v>21996840</v>
      </c>
    </row>
    <row r="201" spans="1:3" x14ac:dyDescent="0.25">
      <c r="A201" t="s">
        <v>122</v>
      </c>
      <c r="B201" t="s">
        <v>71</v>
      </c>
      <c r="C201">
        <v>2569850</v>
      </c>
    </row>
    <row r="202" spans="1:3" x14ac:dyDescent="0.25">
      <c r="A202" t="s">
        <v>126</v>
      </c>
      <c r="B202" t="s">
        <v>101</v>
      </c>
      <c r="C202">
        <v>38287022310</v>
      </c>
    </row>
    <row r="203" spans="1:3" x14ac:dyDescent="0.25">
      <c r="A203" t="s">
        <v>126</v>
      </c>
      <c r="B203" t="s">
        <v>88</v>
      </c>
      <c r="C203">
        <v>15555259870</v>
      </c>
    </row>
    <row r="204" spans="1:3" x14ac:dyDescent="0.25">
      <c r="A204" t="s">
        <v>126</v>
      </c>
      <c r="B204" t="s">
        <v>127</v>
      </c>
      <c r="C204">
        <v>6974162130</v>
      </c>
    </row>
    <row r="205" spans="1:3" x14ac:dyDescent="0.25">
      <c r="A205" t="s">
        <v>126</v>
      </c>
      <c r="B205" t="s">
        <v>128</v>
      </c>
      <c r="C205">
        <v>1939948910</v>
      </c>
    </row>
    <row r="206" spans="1:3" x14ac:dyDescent="0.25">
      <c r="A206" t="s">
        <v>126</v>
      </c>
      <c r="B206" t="s">
        <v>70</v>
      </c>
      <c r="C206">
        <v>1220802200</v>
      </c>
    </row>
    <row r="207" spans="1:3" x14ac:dyDescent="0.25">
      <c r="A207" t="s">
        <v>126</v>
      </c>
      <c r="B207" t="s">
        <v>58</v>
      </c>
      <c r="C207">
        <v>1114385700</v>
      </c>
    </row>
    <row r="208" spans="1:3" x14ac:dyDescent="0.25">
      <c r="A208" t="s">
        <v>126</v>
      </c>
      <c r="B208" t="s">
        <v>41</v>
      </c>
      <c r="C208">
        <v>1093240750</v>
      </c>
    </row>
    <row r="209" spans="1:3" x14ac:dyDescent="0.25">
      <c r="A209" t="s">
        <v>126</v>
      </c>
      <c r="B209" t="s">
        <v>25</v>
      </c>
      <c r="C209">
        <v>612603200</v>
      </c>
    </row>
    <row r="210" spans="1:3" x14ac:dyDescent="0.25">
      <c r="A210" t="s">
        <v>126</v>
      </c>
      <c r="B210" t="s">
        <v>90</v>
      </c>
      <c r="C210">
        <v>577884000</v>
      </c>
    </row>
    <row r="211" spans="1:3" x14ac:dyDescent="0.25">
      <c r="A211" t="s">
        <v>126</v>
      </c>
      <c r="B211" t="s">
        <v>40</v>
      </c>
      <c r="C211">
        <v>522994500</v>
      </c>
    </row>
    <row r="212" spans="1:3" x14ac:dyDescent="0.25">
      <c r="A212" t="s">
        <v>126</v>
      </c>
      <c r="B212" t="s">
        <v>47</v>
      </c>
      <c r="C212">
        <v>233905340</v>
      </c>
    </row>
    <row r="213" spans="1:3" x14ac:dyDescent="0.25">
      <c r="A213" t="s">
        <v>126</v>
      </c>
      <c r="B213" t="s">
        <v>98</v>
      </c>
      <c r="C213">
        <v>206992300</v>
      </c>
    </row>
    <row r="214" spans="1:3" x14ac:dyDescent="0.25">
      <c r="A214" t="s">
        <v>126</v>
      </c>
      <c r="B214" t="s">
        <v>46</v>
      </c>
      <c r="C214">
        <v>66855440</v>
      </c>
    </row>
    <row r="215" spans="1:3" x14ac:dyDescent="0.25">
      <c r="A215" t="s">
        <v>126</v>
      </c>
      <c r="B215" t="s">
        <v>61</v>
      </c>
      <c r="C215">
        <v>48800000</v>
      </c>
    </row>
    <row r="216" spans="1:3" x14ac:dyDescent="0.25">
      <c r="A216" t="s">
        <v>126</v>
      </c>
      <c r="B216" t="s">
        <v>48</v>
      </c>
      <c r="C216">
        <v>7466950</v>
      </c>
    </row>
    <row r="217" spans="1:3" x14ac:dyDescent="0.25">
      <c r="A217" t="s">
        <v>126</v>
      </c>
      <c r="B217" t="s">
        <v>54</v>
      </c>
      <c r="C217">
        <v>5064000</v>
      </c>
    </row>
    <row r="218" spans="1:3" x14ac:dyDescent="0.25">
      <c r="A218" t="s">
        <v>129</v>
      </c>
      <c r="B218" t="s">
        <v>52</v>
      </c>
      <c r="C218">
        <v>108661215150</v>
      </c>
    </row>
    <row r="219" spans="1:3" x14ac:dyDescent="0.25">
      <c r="A219" t="s">
        <v>129</v>
      </c>
      <c r="B219" t="s">
        <v>41</v>
      </c>
      <c r="C219">
        <v>31337464120</v>
      </c>
    </row>
    <row r="220" spans="1:3" x14ac:dyDescent="0.25">
      <c r="A220" t="s">
        <v>129</v>
      </c>
      <c r="B220" t="s">
        <v>127</v>
      </c>
      <c r="C220">
        <v>15118614600</v>
      </c>
    </row>
    <row r="221" spans="1:3" x14ac:dyDescent="0.25">
      <c r="A221" t="s">
        <v>129</v>
      </c>
      <c r="B221" t="s">
        <v>114</v>
      </c>
      <c r="C221">
        <v>1733627900</v>
      </c>
    </row>
    <row r="222" spans="1:3" x14ac:dyDescent="0.25">
      <c r="A222" t="s">
        <v>129</v>
      </c>
      <c r="B222" t="s">
        <v>40</v>
      </c>
      <c r="C222">
        <v>715672610</v>
      </c>
    </row>
    <row r="223" spans="1:3" x14ac:dyDescent="0.25">
      <c r="A223" t="s">
        <v>129</v>
      </c>
      <c r="B223" t="s">
        <v>95</v>
      </c>
      <c r="C223">
        <v>342102200</v>
      </c>
    </row>
    <row r="224" spans="1:3" x14ac:dyDescent="0.25">
      <c r="A224" t="s">
        <v>129</v>
      </c>
      <c r="B224" t="s">
        <v>130</v>
      </c>
      <c r="C224">
        <v>233545900</v>
      </c>
    </row>
    <row r="225" spans="1:3" x14ac:dyDescent="0.25">
      <c r="A225" t="s">
        <v>129</v>
      </c>
      <c r="B225" t="s">
        <v>46</v>
      </c>
      <c r="C225">
        <v>122942820</v>
      </c>
    </row>
    <row r="226" spans="1:3" x14ac:dyDescent="0.25">
      <c r="A226" t="s">
        <v>129</v>
      </c>
      <c r="B226" t="s">
        <v>54</v>
      </c>
      <c r="C226">
        <v>96697100</v>
      </c>
    </row>
    <row r="227" spans="1:3" x14ac:dyDescent="0.25">
      <c r="A227" t="s">
        <v>129</v>
      </c>
      <c r="B227" t="s">
        <v>47</v>
      </c>
      <c r="C227">
        <v>69362360</v>
      </c>
    </row>
    <row r="228" spans="1:3" x14ac:dyDescent="0.25">
      <c r="A228" t="s">
        <v>129</v>
      </c>
      <c r="B228" t="s">
        <v>48</v>
      </c>
      <c r="C228">
        <v>32941460</v>
      </c>
    </row>
    <row r="229" spans="1:3" x14ac:dyDescent="0.25">
      <c r="A229" t="s">
        <v>129</v>
      </c>
      <c r="B229" t="s">
        <v>53</v>
      </c>
      <c r="C229">
        <v>30028490</v>
      </c>
    </row>
    <row r="230" spans="1:3" x14ac:dyDescent="0.25">
      <c r="A230" t="s">
        <v>129</v>
      </c>
      <c r="B230" t="s">
        <v>58</v>
      </c>
      <c r="C230">
        <v>5931500</v>
      </c>
    </row>
    <row r="231" spans="1:3" x14ac:dyDescent="0.25">
      <c r="A231" t="s">
        <v>131</v>
      </c>
      <c r="B231" t="s">
        <v>57</v>
      </c>
      <c r="C231">
        <v>113412463300</v>
      </c>
    </row>
    <row r="232" spans="1:3" x14ac:dyDescent="0.25">
      <c r="A232" t="s">
        <v>131</v>
      </c>
      <c r="B232" t="s">
        <v>91</v>
      </c>
      <c r="C232">
        <v>65576448190</v>
      </c>
    </row>
    <row r="233" spans="1:3" x14ac:dyDescent="0.25">
      <c r="A233" t="s">
        <v>131</v>
      </c>
      <c r="B233" t="s">
        <v>132</v>
      </c>
      <c r="C233">
        <v>62918793350</v>
      </c>
    </row>
    <row r="234" spans="1:3" x14ac:dyDescent="0.25">
      <c r="A234" t="s">
        <v>131</v>
      </c>
      <c r="B234" t="s">
        <v>51</v>
      </c>
      <c r="C234">
        <v>22208276370</v>
      </c>
    </row>
    <row r="235" spans="1:3" x14ac:dyDescent="0.25">
      <c r="A235" t="s">
        <v>131</v>
      </c>
      <c r="B235" t="s">
        <v>69</v>
      </c>
      <c r="C235">
        <v>2355065430</v>
      </c>
    </row>
    <row r="236" spans="1:3" x14ac:dyDescent="0.25">
      <c r="A236" t="s">
        <v>131</v>
      </c>
      <c r="B236" t="s">
        <v>88</v>
      </c>
      <c r="C236">
        <v>1992338350</v>
      </c>
    </row>
    <row r="237" spans="1:3" x14ac:dyDescent="0.25">
      <c r="A237" t="s">
        <v>131</v>
      </c>
      <c r="B237" t="s">
        <v>41</v>
      </c>
      <c r="C237">
        <v>744848160</v>
      </c>
    </row>
    <row r="238" spans="1:3" x14ac:dyDescent="0.25">
      <c r="A238" t="s">
        <v>131</v>
      </c>
      <c r="B238" t="s">
        <v>47</v>
      </c>
      <c r="C238">
        <v>645137270</v>
      </c>
    </row>
    <row r="239" spans="1:3" x14ac:dyDescent="0.25">
      <c r="A239" t="s">
        <v>131</v>
      </c>
      <c r="B239" t="s">
        <v>40</v>
      </c>
      <c r="C239">
        <v>599183570</v>
      </c>
    </row>
    <row r="240" spans="1:3" x14ac:dyDescent="0.25">
      <c r="A240" t="s">
        <v>131</v>
      </c>
      <c r="B240" t="s">
        <v>87</v>
      </c>
      <c r="C240">
        <v>461829600</v>
      </c>
    </row>
    <row r="241" spans="1:3" x14ac:dyDescent="0.25">
      <c r="A241" t="s">
        <v>131</v>
      </c>
      <c r="B241" t="s">
        <v>98</v>
      </c>
      <c r="C241">
        <v>295324280</v>
      </c>
    </row>
    <row r="242" spans="1:3" x14ac:dyDescent="0.25">
      <c r="A242" t="s">
        <v>131</v>
      </c>
      <c r="B242" t="s">
        <v>46</v>
      </c>
      <c r="C242">
        <v>293771680</v>
      </c>
    </row>
    <row r="243" spans="1:3" x14ac:dyDescent="0.25">
      <c r="A243" t="s">
        <v>131</v>
      </c>
      <c r="B243" t="s">
        <v>114</v>
      </c>
      <c r="C243">
        <v>213478900</v>
      </c>
    </row>
    <row r="244" spans="1:3" x14ac:dyDescent="0.25">
      <c r="A244" t="s">
        <v>131</v>
      </c>
      <c r="B244" t="s">
        <v>48</v>
      </c>
      <c r="C244">
        <v>80789460</v>
      </c>
    </row>
    <row r="245" spans="1:3" x14ac:dyDescent="0.25">
      <c r="A245" t="s">
        <v>131</v>
      </c>
      <c r="B245" t="s">
        <v>133</v>
      </c>
      <c r="C245">
        <v>34905320</v>
      </c>
    </row>
    <row r="246" spans="1:3" x14ac:dyDescent="0.25">
      <c r="A246" t="s">
        <v>131</v>
      </c>
      <c r="B246" t="s">
        <v>54</v>
      </c>
      <c r="C246">
        <v>18567600</v>
      </c>
    </row>
    <row r="247" spans="1:3" x14ac:dyDescent="0.25">
      <c r="A247" t="s">
        <v>131</v>
      </c>
      <c r="B247" t="s">
        <v>134</v>
      </c>
      <c r="C247">
        <v>7950000</v>
      </c>
    </row>
    <row r="248" spans="1:3" x14ac:dyDescent="0.25">
      <c r="A248" t="s">
        <v>131</v>
      </c>
      <c r="B248" t="s">
        <v>121</v>
      </c>
      <c r="C248">
        <v>6999800</v>
      </c>
    </row>
    <row r="249" spans="1:3" x14ac:dyDescent="0.25">
      <c r="A249" t="s">
        <v>10</v>
      </c>
      <c r="B249" t="s">
        <v>18</v>
      </c>
      <c r="C249">
        <v>211258413990</v>
      </c>
    </row>
    <row r="250" spans="1:3" x14ac:dyDescent="0.25">
      <c r="A250" t="s">
        <v>10</v>
      </c>
      <c r="B250" t="s">
        <v>54</v>
      </c>
      <c r="C250">
        <v>156658385800</v>
      </c>
    </row>
    <row r="251" spans="1:3" x14ac:dyDescent="0.25">
      <c r="A251" t="s">
        <v>10</v>
      </c>
      <c r="B251" t="s">
        <v>85</v>
      </c>
      <c r="C251">
        <v>148256367600</v>
      </c>
    </row>
    <row r="252" spans="1:3" x14ac:dyDescent="0.25">
      <c r="A252" t="s">
        <v>10</v>
      </c>
      <c r="B252" t="s">
        <v>82</v>
      </c>
      <c r="C252">
        <v>141048741050</v>
      </c>
    </row>
    <row r="253" spans="1:3" x14ac:dyDescent="0.25">
      <c r="A253" t="s">
        <v>10</v>
      </c>
      <c r="B253" t="s">
        <v>100</v>
      </c>
      <c r="C253">
        <v>79947185550</v>
      </c>
    </row>
    <row r="254" spans="1:3" x14ac:dyDescent="0.25">
      <c r="A254" t="s">
        <v>10</v>
      </c>
      <c r="B254" t="s">
        <v>114</v>
      </c>
      <c r="C254">
        <v>67246557590</v>
      </c>
    </row>
    <row r="255" spans="1:3" x14ac:dyDescent="0.25">
      <c r="A255" t="s">
        <v>10</v>
      </c>
      <c r="B255" t="s">
        <v>61</v>
      </c>
      <c r="C255">
        <v>49210216820</v>
      </c>
    </row>
    <row r="256" spans="1:3" x14ac:dyDescent="0.25">
      <c r="A256" t="s">
        <v>10</v>
      </c>
      <c r="B256" t="s">
        <v>135</v>
      </c>
      <c r="C256">
        <v>44722352020</v>
      </c>
    </row>
    <row r="257" spans="1:3" x14ac:dyDescent="0.25">
      <c r="A257" t="s">
        <v>10</v>
      </c>
      <c r="B257" t="s">
        <v>95</v>
      </c>
      <c r="C257">
        <v>32146936720</v>
      </c>
    </row>
    <row r="258" spans="1:3" x14ac:dyDescent="0.25">
      <c r="A258" t="s">
        <v>10</v>
      </c>
      <c r="B258" t="s">
        <v>62</v>
      </c>
      <c r="C258">
        <v>32127549370</v>
      </c>
    </row>
    <row r="259" spans="1:3" x14ac:dyDescent="0.25">
      <c r="A259" t="s">
        <v>10</v>
      </c>
      <c r="B259" t="s">
        <v>93</v>
      </c>
      <c r="C259">
        <v>26115862510</v>
      </c>
    </row>
    <row r="260" spans="1:3" x14ac:dyDescent="0.25">
      <c r="A260" t="s">
        <v>10</v>
      </c>
      <c r="B260" t="s">
        <v>136</v>
      </c>
      <c r="C260">
        <v>14647514760</v>
      </c>
    </row>
    <row r="261" spans="1:3" x14ac:dyDescent="0.25">
      <c r="A261" t="s">
        <v>10</v>
      </c>
      <c r="B261" t="s">
        <v>137</v>
      </c>
      <c r="C261">
        <v>13692663110</v>
      </c>
    </row>
    <row r="262" spans="1:3" x14ac:dyDescent="0.25">
      <c r="A262" t="s">
        <v>10</v>
      </c>
      <c r="B262" t="s">
        <v>64</v>
      </c>
      <c r="C262">
        <v>10362218200</v>
      </c>
    </row>
    <row r="263" spans="1:3" x14ac:dyDescent="0.25">
      <c r="A263" t="s">
        <v>10</v>
      </c>
      <c r="B263" t="s">
        <v>44</v>
      </c>
      <c r="C263">
        <v>9424804200</v>
      </c>
    </row>
    <row r="264" spans="1:3" x14ac:dyDescent="0.25">
      <c r="A264" t="s">
        <v>10</v>
      </c>
      <c r="B264" t="s">
        <v>90</v>
      </c>
      <c r="C264">
        <v>8900732300</v>
      </c>
    </row>
    <row r="265" spans="1:3" x14ac:dyDescent="0.25">
      <c r="A265" t="s">
        <v>10</v>
      </c>
      <c r="B265" t="s">
        <v>41</v>
      </c>
      <c r="C265">
        <v>7884112050</v>
      </c>
    </row>
    <row r="266" spans="1:3" x14ac:dyDescent="0.25">
      <c r="A266" t="s">
        <v>10</v>
      </c>
      <c r="B266" t="s">
        <v>115</v>
      </c>
      <c r="C266">
        <v>6076990880</v>
      </c>
    </row>
    <row r="267" spans="1:3" x14ac:dyDescent="0.25">
      <c r="A267" t="s">
        <v>10</v>
      </c>
      <c r="B267" t="s">
        <v>65</v>
      </c>
      <c r="C267">
        <v>4954236800</v>
      </c>
    </row>
    <row r="268" spans="1:3" x14ac:dyDescent="0.25">
      <c r="A268" t="s">
        <v>10</v>
      </c>
      <c r="B268" t="s">
        <v>47</v>
      </c>
      <c r="C268">
        <v>4479602840</v>
      </c>
    </row>
    <row r="269" spans="1:3" x14ac:dyDescent="0.25">
      <c r="A269" t="s">
        <v>10</v>
      </c>
      <c r="B269" t="s">
        <v>102</v>
      </c>
      <c r="C269">
        <v>3749487200</v>
      </c>
    </row>
    <row r="270" spans="1:3" x14ac:dyDescent="0.25">
      <c r="A270" t="s">
        <v>10</v>
      </c>
      <c r="B270" t="s">
        <v>70</v>
      </c>
      <c r="C270">
        <v>2125418470</v>
      </c>
    </row>
    <row r="271" spans="1:3" x14ac:dyDescent="0.25">
      <c r="A271" t="s">
        <v>10</v>
      </c>
      <c r="B271" t="s">
        <v>138</v>
      </c>
      <c r="C271">
        <v>1728601800</v>
      </c>
    </row>
    <row r="272" spans="1:3" x14ac:dyDescent="0.25">
      <c r="A272" t="s">
        <v>10</v>
      </c>
      <c r="B272" t="s">
        <v>125</v>
      </c>
      <c r="C272">
        <v>1386835330</v>
      </c>
    </row>
    <row r="273" spans="1:3" x14ac:dyDescent="0.25">
      <c r="A273" t="s">
        <v>10</v>
      </c>
      <c r="B273" t="s">
        <v>66</v>
      </c>
      <c r="C273">
        <v>1259080550</v>
      </c>
    </row>
    <row r="274" spans="1:3" x14ac:dyDescent="0.25">
      <c r="A274" t="s">
        <v>10</v>
      </c>
      <c r="B274" t="s">
        <v>40</v>
      </c>
      <c r="C274">
        <v>507964940</v>
      </c>
    </row>
    <row r="275" spans="1:3" x14ac:dyDescent="0.25">
      <c r="A275" t="s">
        <v>10</v>
      </c>
      <c r="B275" t="s">
        <v>139</v>
      </c>
      <c r="C275">
        <v>150660420</v>
      </c>
    </row>
    <row r="276" spans="1:3" x14ac:dyDescent="0.25">
      <c r="A276" t="s">
        <v>10</v>
      </c>
      <c r="B276" t="s">
        <v>46</v>
      </c>
      <c r="C276">
        <v>101475850</v>
      </c>
    </row>
    <row r="277" spans="1:3" x14ac:dyDescent="0.25">
      <c r="A277" t="s">
        <v>10</v>
      </c>
      <c r="B277" t="s">
        <v>110</v>
      </c>
      <c r="C277">
        <v>87398770</v>
      </c>
    </row>
    <row r="278" spans="1:3" x14ac:dyDescent="0.25">
      <c r="A278" t="s">
        <v>10</v>
      </c>
      <c r="B278" t="s">
        <v>48</v>
      </c>
      <c r="C278">
        <v>9165800</v>
      </c>
    </row>
    <row r="279" spans="1:3" x14ac:dyDescent="0.25">
      <c r="A279" t="s">
        <v>10</v>
      </c>
      <c r="B279" t="s">
        <v>38</v>
      </c>
      <c r="C279">
        <v>6996000</v>
      </c>
    </row>
    <row r="280" spans="1:3" x14ac:dyDescent="0.25">
      <c r="A280" t="s">
        <v>10</v>
      </c>
      <c r="B280" t="s">
        <v>71</v>
      </c>
      <c r="C280">
        <v>5097800</v>
      </c>
    </row>
    <row r="281" spans="1:3" x14ac:dyDescent="0.25">
      <c r="A281" t="s">
        <v>140</v>
      </c>
      <c r="B281" t="s">
        <v>62</v>
      </c>
      <c r="C281">
        <v>77094991920</v>
      </c>
    </row>
    <row r="282" spans="1:3" x14ac:dyDescent="0.25">
      <c r="A282" t="s">
        <v>140</v>
      </c>
      <c r="B282" t="s">
        <v>90</v>
      </c>
      <c r="C282">
        <v>19285224750</v>
      </c>
    </row>
    <row r="283" spans="1:3" x14ac:dyDescent="0.25">
      <c r="A283" t="s">
        <v>140</v>
      </c>
      <c r="B283" t="s">
        <v>115</v>
      </c>
      <c r="C283">
        <v>14302049920</v>
      </c>
    </row>
    <row r="284" spans="1:3" x14ac:dyDescent="0.25">
      <c r="A284" t="s">
        <v>140</v>
      </c>
      <c r="B284" t="s">
        <v>138</v>
      </c>
      <c r="C284">
        <v>8758311430</v>
      </c>
    </row>
    <row r="285" spans="1:3" x14ac:dyDescent="0.25">
      <c r="A285" t="s">
        <v>140</v>
      </c>
      <c r="B285" t="s">
        <v>41</v>
      </c>
      <c r="C285">
        <v>5979438920</v>
      </c>
    </row>
    <row r="286" spans="1:3" x14ac:dyDescent="0.25">
      <c r="A286" t="s">
        <v>140</v>
      </c>
      <c r="B286" t="s">
        <v>125</v>
      </c>
      <c r="C286">
        <v>5929998950</v>
      </c>
    </row>
    <row r="287" spans="1:3" x14ac:dyDescent="0.25">
      <c r="A287" t="s">
        <v>140</v>
      </c>
      <c r="B287" t="s">
        <v>141</v>
      </c>
      <c r="C287">
        <v>5362008300</v>
      </c>
    </row>
    <row r="288" spans="1:3" x14ac:dyDescent="0.25">
      <c r="A288" t="s">
        <v>140</v>
      </c>
      <c r="B288" t="s">
        <v>66</v>
      </c>
      <c r="C288">
        <v>3466046380</v>
      </c>
    </row>
    <row r="289" spans="1:3" x14ac:dyDescent="0.25">
      <c r="A289" t="s">
        <v>140</v>
      </c>
      <c r="B289" t="s">
        <v>47</v>
      </c>
      <c r="C289">
        <v>2909147940</v>
      </c>
    </row>
    <row r="290" spans="1:3" x14ac:dyDescent="0.25">
      <c r="A290" t="s">
        <v>140</v>
      </c>
      <c r="B290" t="s">
        <v>114</v>
      </c>
      <c r="C290">
        <v>2531264000</v>
      </c>
    </row>
    <row r="291" spans="1:3" x14ac:dyDescent="0.25">
      <c r="A291" t="s">
        <v>140</v>
      </c>
      <c r="B291" t="s">
        <v>93</v>
      </c>
      <c r="C291">
        <v>2394449310</v>
      </c>
    </row>
    <row r="292" spans="1:3" x14ac:dyDescent="0.25">
      <c r="A292" t="s">
        <v>140</v>
      </c>
      <c r="B292" t="s">
        <v>70</v>
      </c>
      <c r="C292">
        <v>2142050270</v>
      </c>
    </row>
    <row r="293" spans="1:3" x14ac:dyDescent="0.25">
      <c r="A293" t="s">
        <v>140</v>
      </c>
      <c r="B293" t="s">
        <v>18</v>
      </c>
      <c r="C293">
        <v>1754102170</v>
      </c>
    </row>
    <row r="294" spans="1:3" x14ac:dyDescent="0.25">
      <c r="A294" t="s">
        <v>140</v>
      </c>
      <c r="B294" t="s">
        <v>60</v>
      </c>
      <c r="C294">
        <v>1396404900</v>
      </c>
    </row>
    <row r="295" spans="1:3" x14ac:dyDescent="0.25">
      <c r="A295" t="s">
        <v>140</v>
      </c>
      <c r="B295" t="s">
        <v>82</v>
      </c>
      <c r="C295">
        <v>1271382600</v>
      </c>
    </row>
    <row r="296" spans="1:3" x14ac:dyDescent="0.25">
      <c r="A296" t="s">
        <v>140</v>
      </c>
      <c r="B296" t="s">
        <v>42</v>
      </c>
      <c r="C296">
        <v>940956200</v>
      </c>
    </row>
    <row r="297" spans="1:3" x14ac:dyDescent="0.25">
      <c r="A297" t="s">
        <v>140</v>
      </c>
      <c r="B297" t="s">
        <v>85</v>
      </c>
      <c r="C297">
        <v>734355180</v>
      </c>
    </row>
    <row r="298" spans="1:3" x14ac:dyDescent="0.25">
      <c r="A298" t="s">
        <v>140</v>
      </c>
      <c r="B298" t="s">
        <v>40</v>
      </c>
      <c r="C298">
        <v>501030080</v>
      </c>
    </row>
    <row r="299" spans="1:3" x14ac:dyDescent="0.25">
      <c r="A299" t="s">
        <v>140</v>
      </c>
      <c r="B299" t="s">
        <v>139</v>
      </c>
      <c r="C299">
        <v>431949720</v>
      </c>
    </row>
    <row r="300" spans="1:3" x14ac:dyDescent="0.25">
      <c r="A300" t="s">
        <v>140</v>
      </c>
      <c r="B300" t="s">
        <v>71</v>
      </c>
      <c r="C300">
        <v>102251960</v>
      </c>
    </row>
    <row r="301" spans="1:3" x14ac:dyDescent="0.25">
      <c r="A301" t="s">
        <v>140</v>
      </c>
      <c r="B301" t="s">
        <v>46</v>
      </c>
      <c r="C301">
        <v>76458000</v>
      </c>
    </row>
    <row r="302" spans="1:3" x14ac:dyDescent="0.25">
      <c r="A302" t="s">
        <v>140</v>
      </c>
      <c r="B302" t="s">
        <v>61</v>
      </c>
      <c r="C302">
        <v>67844200</v>
      </c>
    </row>
    <row r="303" spans="1:3" x14ac:dyDescent="0.25">
      <c r="A303" t="s">
        <v>140</v>
      </c>
      <c r="B303" t="s">
        <v>48</v>
      </c>
      <c r="C303">
        <v>67745860</v>
      </c>
    </row>
    <row r="304" spans="1:3" x14ac:dyDescent="0.25">
      <c r="A304" t="s">
        <v>140</v>
      </c>
      <c r="B304" t="s">
        <v>54</v>
      </c>
      <c r="C304">
        <v>2879900</v>
      </c>
    </row>
    <row r="305" spans="1:3" x14ac:dyDescent="0.25">
      <c r="A305" t="s">
        <v>14</v>
      </c>
      <c r="B305" t="s">
        <v>26</v>
      </c>
      <c r="C305">
        <v>3223770800200</v>
      </c>
    </row>
    <row r="306" spans="1:3" x14ac:dyDescent="0.25">
      <c r="A306" t="s">
        <v>14</v>
      </c>
      <c r="B306" t="s">
        <v>124</v>
      </c>
      <c r="C306">
        <v>282693986400</v>
      </c>
    </row>
    <row r="307" spans="1:3" x14ac:dyDescent="0.25">
      <c r="A307" t="s">
        <v>14</v>
      </c>
      <c r="B307" t="s">
        <v>132</v>
      </c>
      <c r="C307">
        <v>65669019500</v>
      </c>
    </row>
    <row r="308" spans="1:3" x14ac:dyDescent="0.25">
      <c r="A308" t="s">
        <v>14</v>
      </c>
      <c r="B308" t="s">
        <v>41</v>
      </c>
      <c r="C308">
        <v>29698526280</v>
      </c>
    </row>
    <row r="309" spans="1:3" x14ac:dyDescent="0.25">
      <c r="A309" t="s">
        <v>14</v>
      </c>
      <c r="B309" t="s">
        <v>86</v>
      </c>
      <c r="C309">
        <v>17766335000</v>
      </c>
    </row>
    <row r="310" spans="1:3" x14ac:dyDescent="0.25">
      <c r="A310" t="s">
        <v>14</v>
      </c>
      <c r="B310" t="s">
        <v>142</v>
      </c>
      <c r="C310">
        <v>16156413340</v>
      </c>
    </row>
    <row r="311" spans="1:3" x14ac:dyDescent="0.25">
      <c r="A311" t="s">
        <v>14</v>
      </c>
      <c r="B311" t="s">
        <v>100</v>
      </c>
      <c r="C311">
        <v>10670479220</v>
      </c>
    </row>
    <row r="312" spans="1:3" x14ac:dyDescent="0.25">
      <c r="A312" t="s">
        <v>14</v>
      </c>
      <c r="B312" t="s">
        <v>104</v>
      </c>
      <c r="C312">
        <v>8899166060</v>
      </c>
    </row>
    <row r="313" spans="1:3" x14ac:dyDescent="0.25">
      <c r="A313" t="s">
        <v>14</v>
      </c>
      <c r="B313" t="s">
        <v>109</v>
      </c>
      <c r="C313">
        <v>5472715760</v>
      </c>
    </row>
    <row r="314" spans="1:3" x14ac:dyDescent="0.25">
      <c r="A314" t="s">
        <v>14</v>
      </c>
      <c r="B314" t="s">
        <v>123</v>
      </c>
      <c r="C314">
        <v>4072602920</v>
      </c>
    </row>
    <row r="315" spans="1:3" x14ac:dyDescent="0.25">
      <c r="A315" t="s">
        <v>14</v>
      </c>
      <c r="B315" t="s">
        <v>135</v>
      </c>
      <c r="C315">
        <v>3599808040</v>
      </c>
    </row>
    <row r="316" spans="1:3" x14ac:dyDescent="0.25">
      <c r="A316" t="s">
        <v>14</v>
      </c>
      <c r="B316" t="s">
        <v>113</v>
      </c>
      <c r="C316">
        <v>3527079410</v>
      </c>
    </row>
    <row r="317" spans="1:3" x14ac:dyDescent="0.25">
      <c r="A317" t="s">
        <v>14</v>
      </c>
      <c r="B317" t="s">
        <v>48</v>
      </c>
      <c r="C317">
        <v>2980875620</v>
      </c>
    </row>
    <row r="318" spans="1:3" x14ac:dyDescent="0.25">
      <c r="A318" t="s">
        <v>14</v>
      </c>
      <c r="B318" t="s">
        <v>97</v>
      </c>
      <c r="C318">
        <v>2904249380</v>
      </c>
    </row>
    <row r="319" spans="1:3" x14ac:dyDescent="0.25">
      <c r="A319" t="s">
        <v>14</v>
      </c>
      <c r="B319" t="s">
        <v>90</v>
      </c>
      <c r="C319">
        <v>1594368800</v>
      </c>
    </row>
    <row r="320" spans="1:3" x14ac:dyDescent="0.25">
      <c r="A320" t="s">
        <v>14</v>
      </c>
      <c r="B320" t="s">
        <v>68</v>
      </c>
      <c r="C320">
        <v>1207789920</v>
      </c>
    </row>
    <row r="321" spans="1:3" x14ac:dyDescent="0.25">
      <c r="A321" t="s">
        <v>14</v>
      </c>
      <c r="B321" t="s">
        <v>105</v>
      </c>
      <c r="C321">
        <v>1198375040</v>
      </c>
    </row>
    <row r="322" spans="1:3" x14ac:dyDescent="0.25">
      <c r="A322" t="s">
        <v>14</v>
      </c>
      <c r="B322" t="s">
        <v>62</v>
      </c>
      <c r="C322">
        <v>718138000</v>
      </c>
    </row>
    <row r="323" spans="1:3" x14ac:dyDescent="0.25">
      <c r="A323" t="s">
        <v>14</v>
      </c>
      <c r="B323" t="s">
        <v>85</v>
      </c>
      <c r="C323">
        <v>587852570</v>
      </c>
    </row>
    <row r="324" spans="1:3" x14ac:dyDescent="0.25">
      <c r="A324" t="s">
        <v>14</v>
      </c>
      <c r="B324" t="s">
        <v>45</v>
      </c>
      <c r="C324">
        <v>273825110</v>
      </c>
    </row>
    <row r="325" spans="1:3" x14ac:dyDescent="0.25">
      <c r="A325" t="s">
        <v>14</v>
      </c>
      <c r="B325" t="s">
        <v>67</v>
      </c>
      <c r="C325">
        <v>127798570</v>
      </c>
    </row>
    <row r="326" spans="1:3" x14ac:dyDescent="0.25">
      <c r="A326" t="s">
        <v>14</v>
      </c>
      <c r="B326" t="s">
        <v>22</v>
      </c>
      <c r="C326">
        <v>48712300</v>
      </c>
    </row>
    <row r="327" spans="1:3" x14ac:dyDescent="0.25">
      <c r="A327" t="s">
        <v>14</v>
      </c>
      <c r="B327" t="s">
        <v>46</v>
      </c>
      <c r="C327">
        <v>20247200</v>
      </c>
    </row>
    <row r="328" spans="1:3" x14ac:dyDescent="0.25">
      <c r="A328" t="s">
        <v>14</v>
      </c>
      <c r="B328" t="s">
        <v>92</v>
      </c>
      <c r="C328">
        <v>3817700</v>
      </c>
    </row>
    <row r="329" spans="1:3" x14ac:dyDescent="0.25">
      <c r="A329" t="s">
        <v>9</v>
      </c>
      <c r="B329" t="s">
        <v>24</v>
      </c>
      <c r="C329">
        <v>1579260379510</v>
      </c>
    </row>
    <row r="330" spans="1:3" x14ac:dyDescent="0.25">
      <c r="A330" t="s">
        <v>9</v>
      </c>
      <c r="B330" t="s">
        <v>22</v>
      </c>
      <c r="C330">
        <v>716227572780</v>
      </c>
    </row>
    <row r="331" spans="1:3" x14ac:dyDescent="0.25">
      <c r="A331" t="s">
        <v>9</v>
      </c>
      <c r="B331" t="s">
        <v>47</v>
      </c>
      <c r="C331">
        <v>260627707940</v>
      </c>
    </row>
    <row r="332" spans="1:3" x14ac:dyDescent="0.25">
      <c r="A332" t="s">
        <v>9</v>
      </c>
      <c r="B332" t="s">
        <v>96</v>
      </c>
      <c r="C332">
        <v>64635336040</v>
      </c>
    </row>
    <row r="333" spans="1:3" x14ac:dyDescent="0.25">
      <c r="A333" t="s">
        <v>9</v>
      </c>
      <c r="B333" t="s">
        <v>94</v>
      </c>
      <c r="C333">
        <v>56593356890</v>
      </c>
    </row>
    <row r="334" spans="1:3" x14ac:dyDescent="0.25">
      <c r="A334" t="s">
        <v>9</v>
      </c>
      <c r="B334" t="s">
        <v>143</v>
      </c>
      <c r="C334">
        <v>35279033490</v>
      </c>
    </row>
    <row r="335" spans="1:3" x14ac:dyDescent="0.25">
      <c r="A335" t="s">
        <v>9</v>
      </c>
      <c r="B335" t="s">
        <v>71</v>
      </c>
      <c r="C335">
        <v>22793055590</v>
      </c>
    </row>
    <row r="336" spans="1:3" x14ac:dyDescent="0.25">
      <c r="A336" t="s">
        <v>9</v>
      </c>
      <c r="B336" t="s">
        <v>144</v>
      </c>
      <c r="C336">
        <v>18942658000</v>
      </c>
    </row>
    <row r="337" spans="1:3" x14ac:dyDescent="0.25">
      <c r="A337" t="s">
        <v>9</v>
      </c>
      <c r="B337" t="s">
        <v>89</v>
      </c>
      <c r="C337">
        <v>6463076870</v>
      </c>
    </row>
    <row r="338" spans="1:3" x14ac:dyDescent="0.25">
      <c r="A338" t="s">
        <v>9</v>
      </c>
      <c r="B338" t="s">
        <v>86</v>
      </c>
      <c r="C338">
        <v>3385462500</v>
      </c>
    </row>
    <row r="339" spans="1:3" x14ac:dyDescent="0.25">
      <c r="A339" t="s">
        <v>9</v>
      </c>
      <c r="B339" t="s">
        <v>41</v>
      </c>
      <c r="C339">
        <v>2776021170</v>
      </c>
    </row>
    <row r="340" spans="1:3" x14ac:dyDescent="0.25">
      <c r="A340" t="s">
        <v>9</v>
      </c>
      <c r="B340" t="s">
        <v>145</v>
      </c>
      <c r="C340">
        <v>1671501090</v>
      </c>
    </row>
    <row r="341" spans="1:3" x14ac:dyDescent="0.25">
      <c r="A341" t="s">
        <v>9</v>
      </c>
      <c r="B341" t="s">
        <v>40</v>
      </c>
      <c r="C341">
        <v>676784660</v>
      </c>
    </row>
    <row r="342" spans="1:3" x14ac:dyDescent="0.25">
      <c r="A342" t="s">
        <v>9</v>
      </c>
      <c r="B342" t="s">
        <v>146</v>
      </c>
      <c r="C342">
        <v>233725800</v>
      </c>
    </row>
    <row r="343" spans="1:3" x14ac:dyDescent="0.25">
      <c r="A343" t="s">
        <v>9</v>
      </c>
      <c r="B343" t="s">
        <v>46</v>
      </c>
      <c r="C343">
        <v>36083750</v>
      </c>
    </row>
    <row r="344" spans="1:3" x14ac:dyDescent="0.25">
      <c r="A344" t="s">
        <v>9</v>
      </c>
      <c r="B344" t="s">
        <v>97</v>
      </c>
      <c r="C344">
        <v>30790930</v>
      </c>
    </row>
    <row r="345" spans="1:3" x14ac:dyDescent="0.25">
      <c r="A345" t="s">
        <v>9</v>
      </c>
      <c r="B345" t="s">
        <v>68</v>
      </c>
      <c r="C345">
        <v>25654990</v>
      </c>
    </row>
    <row r="346" spans="1:3" x14ac:dyDescent="0.25">
      <c r="A346" t="s">
        <v>9</v>
      </c>
      <c r="B346" t="s">
        <v>48</v>
      </c>
      <c r="C346">
        <v>15671160</v>
      </c>
    </row>
    <row r="347" spans="1:3" x14ac:dyDescent="0.25">
      <c r="A347" t="s">
        <v>9</v>
      </c>
      <c r="B347" t="s">
        <v>20</v>
      </c>
      <c r="C347">
        <v>13277240</v>
      </c>
    </row>
    <row r="348" spans="1:3" x14ac:dyDescent="0.25">
      <c r="A348" t="s">
        <v>9</v>
      </c>
      <c r="B348" t="s">
        <v>79</v>
      </c>
      <c r="C348">
        <v>6900700</v>
      </c>
    </row>
    <row r="349" spans="1:3" x14ac:dyDescent="0.25">
      <c r="A349" t="s">
        <v>9</v>
      </c>
      <c r="B349" t="s">
        <v>61</v>
      </c>
      <c r="C349">
        <v>4338600</v>
      </c>
    </row>
    <row r="350" spans="1:3" x14ac:dyDescent="0.25">
      <c r="A350" t="s">
        <v>8</v>
      </c>
      <c r="B350" t="s">
        <v>21</v>
      </c>
      <c r="C350">
        <v>440352938930</v>
      </c>
    </row>
    <row r="351" spans="1:3" x14ac:dyDescent="0.25">
      <c r="A351" t="s">
        <v>8</v>
      </c>
      <c r="B351" t="s">
        <v>41</v>
      </c>
      <c r="C351">
        <v>28148985640</v>
      </c>
    </row>
    <row r="352" spans="1:3" x14ac:dyDescent="0.25">
      <c r="A352" t="s">
        <v>8</v>
      </c>
      <c r="B352" t="s">
        <v>48</v>
      </c>
      <c r="C352">
        <v>17674436360</v>
      </c>
    </row>
    <row r="353" spans="1:3" x14ac:dyDescent="0.25">
      <c r="A353" t="s">
        <v>8</v>
      </c>
      <c r="B353" t="s">
        <v>142</v>
      </c>
      <c r="C353">
        <v>12522692320</v>
      </c>
    </row>
    <row r="354" spans="1:3" x14ac:dyDescent="0.25">
      <c r="A354" t="s">
        <v>8</v>
      </c>
      <c r="B354" t="s">
        <v>63</v>
      </c>
      <c r="C354">
        <v>10472080980</v>
      </c>
    </row>
    <row r="355" spans="1:3" x14ac:dyDescent="0.25">
      <c r="A355" t="s">
        <v>8</v>
      </c>
      <c r="B355" t="s">
        <v>147</v>
      </c>
      <c r="C355">
        <v>8352733550</v>
      </c>
    </row>
    <row r="356" spans="1:3" x14ac:dyDescent="0.25">
      <c r="A356" t="s">
        <v>8</v>
      </c>
      <c r="B356" t="s">
        <v>92</v>
      </c>
      <c r="C356">
        <v>5968880640</v>
      </c>
    </row>
    <row r="357" spans="1:3" x14ac:dyDescent="0.25">
      <c r="A357" t="s">
        <v>8</v>
      </c>
      <c r="B357" t="s">
        <v>53</v>
      </c>
      <c r="C357">
        <v>5018757100</v>
      </c>
    </row>
    <row r="358" spans="1:3" x14ac:dyDescent="0.25">
      <c r="A358" t="s">
        <v>8</v>
      </c>
      <c r="B358" t="s">
        <v>60</v>
      </c>
      <c r="C358">
        <v>968934300</v>
      </c>
    </row>
    <row r="359" spans="1:3" x14ac:dyDescent="0.25">
      <c r="A359" t="s">
        <v>8</v>
      </c>
      <c r="B359" t="s">
        <v>40</v>
      </c>
      <c r="C359">
        <v>792739440</v>
      </c>
    </row>
    <row r="360" spans="1:3" x14ac:dyDescent="0.25">
      <c r="A360" t="s">
        <v>8</v>
      </c>
      <c r="B360" t="s">
        <v>46</v>
      </c>
      <c r="C360">
        <v>221555190</v>
      </c>
    </row>
    <row r="361" spans="1:3" x14ac:dyDescent="0.25">
      <c r="A361" t="s">
        <v>8</v>
      </c>
      <c r="B361" t="s">
        <v>65</v>
      </c>
      <c r="C361">
        <v>159880900</v>
      </c>
    </row>
    <row r="362" spans="1:3" x14ac:dyDescent="0.25">
      <c r="A362" t="s">
        <v>8</v>
      </c>
      <c r="B362" t="s">
        <v>47</v>
      </c>
      <c r="C362">
        <v>77751910</v>
      </c>
    </row>
    <row r="363" spans="1:3" x14ac:dyDescent="0.25">
      <c r="A363" t="s">
        <v>8</v>
      </c>
      <c r="B363" t="s">
        <v>68</v>
      </c>
      <c r="C363">
        <v>39137320</v>
      </c>
    </row>
    <row r="364" spans="1:3" x14ac:dyDescent="0.25">
      <c r="A364" t="s">
        <v>148</v>
      </c>
      <c r="B364" t="s">
        <v>54</v>
      </c>
      <c r="C364">
        <v>78653356080</v>
      </c>
    </row>
    <row r="365" spans="1:3" x14ac:dyDescent="0.25">
      <c r="A365" t="s">
        <v>148</v>
      </c>
      <c r="B365" t="s">
        <v>89</v>
      </c>
      <c r="C365">
        <v>58831494740</v>
      </c>
    </row>
    <row r="366" spans="1:3" x14ac:dyDescent="0.25">
      <c r="A366" t="s">
        <v>148</v>
      </c>
      <c r="B366" t="s">
        <v>41</v>
      </c>
      <c r="C366">
        <v>33212142560</v>
      </c>
    </row>
    <row r="367" spans="1:3" x14ac:dyDescent="0.25">
      <c r="A367" t="s">
        <v>148</v>
      </c>
      <c r="B367" t="s">
        <v>86</v>
      </c>
      <c r="C367">
        <v>10733389270</v>
      </c>
    </row>
    <row r="368" spans="1:3" x14ac:dyDescent="0.25">
      <c r="A368" t="s">
        <v>148</v>
      </c>
      <c r="B368" t="s">
        <v>99</v>
      </c>
      <c r="C368">
        <v>6125612680</v>
      </c>
    </row>
    <row r="369" spans="1:3" x14ac:dyDescent="0.25">
      <c r="A369" t="s">
        <v>148</v>
      </c>
      <c r="B369" t="s">
        <v>139</v>
      </c>
      <c r="C369">
        <v>4438028340</v>
      </c>
    </row>
    <row r="370" spans="1:3" x14ac:dyDescent="0.25">
      <c r="A370" t="s">
        <v>148</v>
      </c>
      <c r="B370" t="s">
        <v>67</v>
      </c>
      <c r="C370">
        <v>3589673770</v>
      </c>
    </row>
    <row r="371" spans="1:3" x14ac:dyDescent="0.25">
      <c r="A371" t="s">
        <v>148</v>
      </c>
      <c r="B371" t="s">
        <v>40</v>
      </c>
      <c r="C371">
        <v>2280921360</v>
      </c>
    </row>
    <row r="372" spans="1:3" x14ac:dyDescent="0.25">
      <c r="A372" t="s">
        <v>148</v>
      </c>
      <c r="B372" t="s">
        <v>90</v>
      </c>
      <c r="C372">
        <v>1632039600</v>
      </c>
    </row>
    <row r="373" spans="1:3" x14ac:dyDescent="0.25">
      <c r="A373" t="s">
        <v>148</v>
      </c>
      <c r="B373" t="s">
        <v>115</v>
      </c>
      <c r="C373">
        <v>1618154030</v>
      </c>
    </row>
    <row r="374" spans="1:3" x14ac:dyDescent="0.25">
      <c r="A374" t="s">
        <v>148</v>
      </c>
      <c r="B374" t="s">
        <v>79</v>
      </c>
      <c r="C374">
        <v>1458040100</v>
      </c>
    </row>
    <row r="375" spans="1:3" x14ac:dyDescent="0.25">
      <c r="A375" t="s">
        <v>148</v>
      </c>
      <c r="B375" t="s">
        <v>62</v>
      </c>
      <c r="C375">
        <v>1419758360</v>
      </c>
    </row>
    <row r="376" spans="1:3" x14ac:dyDescent="0.25">
      <c r="A376" t="s">
        <v>148</v>
      </c>
      <c r="B376" t="s">
        <v>121</v>
      </c>
      <c r="C376">
        <v>391472960</v>
      </c>
    </row>
    <row r="377" spans="1:3" x14ac:dyDescent="0.25">
      <c r="A377" t="s">
        <v>148</v>
      </c>
      <c r="B377" t="s">
        <v>137</v>
      </c>
      <c r="C377">
        <v>312800600</v>
      </c>
    </row>
    <row r="378" spans="1:3" x14ac:dyDescent="0.25">
      <c r="A378" t="s">
        <v>148</v>
      </c>
      <c r="B378" t="s">
        <v>70</v>
      </c>
      <c r="C378">
        <v>119576600</v>
      </c>
    </row>
    <row r="379" spans="1:3" x14ac:dyDescent="0.25">
      <c r="A379" t="s">
        <v>148</v>
      </c>
      <c r="B379" t="s">
        <v>47</v>
      </c>
      <c r="C379">
        <v>90847730</v>
      </c>
    </row>
    <row r="380" spans="1:3" x14ac:dyDescent="0.25">
      <c r="A380" t="s">
        <v>148</v>
      </c>
      <c r="B380" t="s">
        <v>46</v>
      </c>
      <c r="C380">
        <v>40556630</v>
      </c>
    </row>
    <row r="381" spans="1:3" x14ac:dyDescent="0.25">
      <c r="A381" t="s">
        <v>148</v>
      </c>
      <c r="B381" t="s">
        <v>125</v>
      </c>
      <c r="C381">
        <v>19958800</v>
      </c>
    </row>
    <row r="382" spans="1:3" x14ac:dyDescent="0.25">
      <c r="A382" t="s">
        <v>148</v>
      </c>
      <c r="B382" t="s">
        <v>149</v>
      </c>
      <c r="C382">
        <v>4128500</v>
      </c>
    </row>
    <row r="383" spans="1:3" x14ac:dyDescent="0.25">
      <c r="A383" t="s">
        <v>148</v>
      </c>
      <c r="B383" t="s">
        <v>48</v>
      </c>
      <c r="C383">
        <v>2796500</v>
      </c>
    </row>
    <row r="384" spans="1:3" x14ac:dyDescent="0.25">
      <c r="A384" t="s">
        <v>148</v>
      </c>
      <c r="B384" t="s">
        <v>73</v>
      </c>
      <c r="C384">
        <v>419800</v>
      </c>
    </row>
    <row r="385" spans="1:3" x14ac:dyDescent="0.25">
      <c r="A385" t="s">
        <v>12</v>
      </c>
      <c r="B385" t="s">
        <v>23</v>
      </c>
      <c r="C385">
        <v>1409252616400</v>
      </c>
    </row>
    <row r="386" spans="1:3" x14ac:dyDescent="0.25">
      <c r="A386" t="s">
        <v>12</v>
      </c>
      <c r="B386" t="s">
        <v>25</v>
      </c>
      <c r="C386">
        <v>442248529100</v>
      </c>
    </row>
    <row r="387" spans="1:3" x14ac:dyDescent="0.25">
      <c r="A387" t="s">
        <v>12</v>
      </c>
      <c r="B387" t="s">
        <v>19</v>
      </c>
      <c r="C387">
        <v>365009447320</v>
      </c>
    </row>
    <row r="388" spans="1:3" x14ac:dyDescent="0.25">
      <c r="A388" t="s">
        <v>12</v>
      </c>
      <c r="B388" t="s">
        <v>53</v>
      </c>
      <c r="C388">
        <v>36759964730</v>
      </c>
    </row>
    <row r="389" spans="1:3" x14ac:dyDescent="0.25">
      <c r="A389" t="s">
        <v>12</v>
      </c>
      <c r="B389" t="s">
        <v>41</v>
      </c>
      <c r="C389">
        <v>31323829680</v>
      </c>
    </row>
    <row r="390" spans="1:3" x14ac:dyDescent="0.25">
      <c r="A390" t="s">
        <v>12</v>
      </c>
      <c r="B390" t="s">
        <v>24</v>
      </c>
      <c r="C390">
        <v>30289392360</v>
      </c>
    </row>
    <row r="391" spans="1:3" x14ac:dyDescent="0.25">
      <c r="A391" t="s">
        <v>12</v>
      </c>
      <c r="B391" t="s">
        <v>21</v>
      </c>
      <c r="C391">
        <v>13278465500</v>
      </c>
    </row>
    <row r="392" spans="1:3" x14ac:dyDescent="0.25">
      <c r="A392" t="s">
        <v>12</v>
      </c>
      <c r="B392" t="s">
        <v>22</v>
      </c>
      <c r="C392">
        <v>6061515960</v>
      </c>
    </row>
    <row r="393" spans="1:3" x14ac:dyDescent="0.25">
      <c r="A393" t="s">
        <v>12</v>
      </c>
      <c r="B393" t="s">
        <v>54</v>
      </c>
      <c r="C393">
        <v>5883342820</v>
      </c>
    </row>
    <row r="394" spans="1:3" x14ac:dyDescent="0.25">
      <c r="A394" t="s">
        <v>12</v>
      </c>
      <c r="B394" t="s">
        <v>94</v>
      </c>
      <c r="C394">
        <v>5831440010</v>
      </c>
    </row>
    <row r="395" spans="1:3" x14ac:dyDescent="0.25">
      <c r="A395" t="s">
        <v>12</v>
      </c>
      <c r="B395" t="s">
        <v>61</v>
      </c>
      <c r="C395">
        <v>3709558500</v>
      </c>
    </row>
    <row r="396" spans="1:3" x14ac:dyDescent="0.25">
      <c r="A396" t="s">
        <v>12</v>
      </c>
      <c r="B396" t="s">
        <v>89</v>
      </c>
      <c r="C396">
        <v>2530802700</v>
      </c>
    </row>
    <row r="397" spans="1:3" x14ac:dyDescent="0.25">
      <c r="A397" t="s">
        <v>12</v>
      </c>
      <c r="B397" t="s">
        <v>65</v>
      </c>
      <c r="C397">
        <v>2501254720</v>
      </c>
    </row>
    <row r="398" spans="1:3" x14ac:dyDescent="0.25">
      <c r="A398" t="s">
        <v>12</v>
      </c>
      <c r="B398" t="s">
        <v>47</v>
      </c>
      <c r="C398">
        <v>2176330690</v>
      </c>
    </row>
    <row r="399" spans="1:3" x14ac:dyDescent="0.25">
      <c r="A399" t="s">
        <v>12</v>
      </c>
      <c r="B399" t="s">
        <v>52</v>
      </c>
      <c r="C399">
        <v>2025841760</v>
      </c>
    </row>
    <row r="400" spans="1:3" x14ac:dyDescent="0.25">
      <c r="A400" t="s">
        <v>12</v>
      </c>
      <c r="B400" t="s">
        <v>85</v>
      </c>
      <c r="C400">
        <v>1656815800</v>
      </c>
    </row>
    <row r="401" spans="1:3" x14ac:dyDescent="0.25">
      <c r="A401" t="s">
        <v>12</v>
      </c>
      <c r="B401" t="s">
        <v>46</v>
      </c>
      <c r="C401">
        <v>1570777170</v>
      </c>
    </row>
    <row r="402" spans="1:3" x14ac:dyDescent="0.25">
      <c r="A402" t="s">
        <v>12</v>
      </c>
      <c r="B402" t="s">
        <v>55</v>
      </c>
      <c r="C402">
        <v>1311625700</v>
      </c>
    </row>
    <row r="403" spans="1:3" x14ac:dyDescent="0.25">
      <c r="A403" t="s">
        <v>12</v>
      </c>
      <c r="B403" t="s">
        <v>40</v>
      </c>
      <c r="C403">
        <v>1230749920</v>
      </c>
    </row>
    <row r="404" spans="1:3" x14ac:dyDescent="0.25">
      <c r="A404" t="s">
        <v>12</v>
      </c>
      <c r="B404" t="s">
        <v>38</v>
      </c>
      <c r="C404">
        <v>1222296680</v>
      </c>
    </row>
    <row r="405" spans="1:3" x14ac:dyDescent="0.25">
      <c r="A405" t="s">
        <v>12</v>
      </c>
      <c r="B405" t="s">
        <v>48</v>
      </c>
      <c r="C405">
        <v>1000406250</v>
      </c>
    </row>
    <row r="406" spans="1:3" x14ac:dyDescent="0.25">
      <c r="A406" t="s">
        <v>12</v>
      </c>
      <c r="B406" t="s">
        <v>43</v>
      </c>
      <c r="C406">
        <v>995638300</v>
      </c>
    </row>
    <row r="407" spans="1:3" x14ac:dyDescent="0.25">
      <c r="A407" t="s">
        <v>12</v>
      </c>
      <c r="B407" t="s">
        <v>58</v>
      </c>
      <c r="C407">
        <v>847122300</v>
      </c>
    </row>
    <row r="408" spans="1:3" x14ac:dyDescent="0.25">
      <c r="A408" t="s">
        <v>12</v>
      </c>
      <c r="B408" t="s">
        <v>66</v>
      </c>
      <c r="C408">
        <v>790139430</v>
      </c>
    </row>
    <row r="409" spans="1:3" x14ac:dyDescent="0.25">
      <c r="A409" t="s">
        <v>12</v>
      </c>
      <c r="B409" t="s">
        <v>60</v>
      </c>
      <c r="C409">
        <v>621731990</v>
      </c>
    </row>
    <row r="410" spans="1:3" x14ac:dyDescent="0.25">
      <c r="A410" t="s">
        <v>12</v>
      </c>
      <c r="B410" t="s">
        <v>137</v>
      </c>
      <c r="C410">
        <v>386618800</v>
      </c>
    </row>
    <row r="411" spans="1:3" x14ac:dyDescent="0.25">
      <c r="A411" t="s">
        <v>12</v>
      </c>
      <c r="B411" t="s">
        <v>121</v>
      </c>
      <c r="C411">
        <v>364542710</v>
      </c>
    </row>
    <row r="412" spans="1:3" x14ac:dyDescent="0.25">
      <c r="A412" t="s">
        <v>12</v>
      </c>
      <c r="B412" t="s">
        <v>115</v>
      </c>
      <c r="C412">
        <v>292323000</v>
      </c>
    </row>
    <row r="413" spans="1:3" x14ac:dyDescent="0.25">
      <c r="A413" t="s">
        <v>12</v>
      </c>
      <c r="B413" t="s">
        <v>56</v>
      </c>
      <c r="C413">
        <v>102180000</v>
      </c>
    </row>
    <row r="414" spans="1:3" x14ac:dyDescent="0.25">
      <c r="A414" t="s">
        <v>12</v>
      </c>
      <c r="B414" t="s">
        <v>20</v>
      </c>
      <c r="C414">
        <v>42791910</v>
      </c>
    </row>
    <row r="415" spans="1:3" x14ac:dyDescent="0.25">
      <c r="A415" t="s">
        <v>12</v>
      </c>
      <c r="B415" t="s">
        <v>62</v>
      </c>
      <c r="C415">
        <v>7800000</v>
      </c>
    </row>
    <row r="416" spans="1:3" x14ac:dyDescent="0.25">
      <c r="A416" t="s">
        <v>12</v>
      </c>
      <c r="B416" t="s">
        <v>120</v>
      </c>
      <c r="C416">
        <v>3999500</v>
      </c>
    </row>
    <row r="417" spans="1:3" x14ac:dyDescent="0.25">
      <c r="A417" t="s">
        <v>150</v>
      </c>
      <c r="B417" t="s">
        <v>64</v>
      </c>
      <c r="C417">
        <v>21325589660</v>
      </c>
    </row>
    <row r="418" spans="1:3" x14ac:dyDescent="0.25">
      <c r="A418" t="s">
        <v>150</v>
      </c>
      <c r="B418" t="s">
        <v>93</v>
      </c>
      <c r="C418">
        <v>18663261930</v>
      </c>
    </row>
    <row r="419" spans="1:3" x14ac:dyDescent="0.25">
      <c r="A419" t="s">
        <v>150</v>
      </c>
      <c r="B419" t="s">
        <v>114</v>
      </c>
      <c r="C419">
        <v>11302903130</v>
      </c>
    </row>
    <row r="420" spans="1:3" x14ac:dyDescent="0.25">
      <c r="A420" t="s">
        <v>150</v>
      </c>
      <c r="B420" t="s">
        <v>65</v>
      </c>
      <c r="C420">
        <v>4458602190</v>
      </c>
    </row>
    <row r="421" spans="1:3" x14ac:dyDescent="0.25">
      <c r="A421" t="s">
        <v>150</v>
      </c>
      <c r="B421" t="s">
        <v>41</v>
      </c>
      <c r="C421">
        <v>3573296540</v>
      </c>
    </row>
    <row r="422" spans="1:3" x14ac:dyDescent="0.25">
      <c r="A422" t="s">
        <v>150</v>
      </c>
      <c r="B422" t="s">
        <v>141</v>
      </c>
      <c r="C422">
        <v>3130660290</v>
      </c>
    </row>
    <row r="423" spans="1:3" x14ac:dyDescent="0.25">
      <c r="A423" t="s">
        <v>150</v>
      </c>
      <c r="B423" t="s">
        <v>110</v>
      </c>
      <c r="C423">
        <v>1096634900</v>
      </c>
    </row>
    <row r="424" spans="1:3" x14ac:dyDescent="0.25">
      <c r="A424" t="s">
        <v>150</v>
      </c>
      <c r="B424" t="s">
        <v>40</v>
      </c>
      <c r="C424">
        <v>536922580</v>
      </c>
    </row>
    <row r="425" spans="1:3" x14ac:dyDescent="0.25">
      <c r="A425" t="s">
        <v>150</v>
      </c>
      <c r="B425" t="s">
        <v>54</v>
      </c>
      <c r="C425">
        <v>475095800</v>
      </c>
    </row>
    <row r="426" spans="1:3" x14ac:dyDescent="0.25">
      <c r="A426" t="s">
        <v>150</v>
      </c>
      <c r="B426" t="s">
        <v>48</v>
      </c>
      <c r="C426">
        <v>339023700</v>
      </c>
    </row>
    <row r="427" spans="1:3" x14ac:dyDescent="0.25">
      <c r="A427" t="s">
        <v>150</v>
      </c>
      <c r="B427" t="s">
        <v>47</v>
      </c>
      <c r="C427">
        <v>44730290</v>
      </c>
    </row>
    <row r="428" spans="1:3" x14ac:dyDescent="0.25">
      <c r="A428" t="s">
        <v>150</v>
      </c>
      <c r="B428" t="s">
        <v>46</v>
      </c>
      <c r="C428">
        <v>12271700</v>
      </c>
    </row>
    <row r="429" spans="1:3" x14ac:dyDescent="0.25">
      <c r="A429" t="s">
        <v>151</v>
      </c>
      <c r="B429" t="s">
        <v>84</v>
      </c>
      <c r="C429">
        <v>94666512560</v>
      </c>
    </row>
    <row r="430" spans="1:3" x14ac:dyDescent="0.25">
      <c r="A430" t="s">
        <v>151</v>
      </c>
      <c r="B430" t="s">
        <v>48</v>
      </c>
      <c r="C430">
        <v>13981643630</v>
      </c>
    </row>
    <row r="431" spans="1:3" x14ac:dyDescent="0.25">
      <c r="A431" t="s">
        <v>151</v>
      </c>
      <c r="B431" t="s">
        <v>53</v>
      </c>
      <c r="C431">
        <v>9187560300</v>
      </c>
    </row>
    <row r="432" spans="1:3" x14ac:dyDescent="0.25">
      <c r="A432" t="s">
        <v>151</v>
      </c>
      <c r="B432" t="s">
        <v>58</v>
      </c>
      <c r="C432">
        <v>8432815400</v>
      </c>
    </row>
    <row r="433" spans="1:3" x14ac:dyDescent="0.25">
      <c r="A433" t="s">
        <v>151</v>
      </c>
      <c r="B433" t="s">
        <v>79</v>
      </c>
      <c r="C433">
        <v>1565669280</v>
      </c>
    </row>
    <row r="434" spans="1:3" x14ac:dyDescent="0.25">
      <c r="A434" t="s">
        <v>151</v>
      </c>
      <c r="B434" t="s">
        <v>40</v>
      </c>
      <c r="C434">
        <v>1482922890</v>
      </c>
    </row>
    <row r="435" spans="1:3" x14ac:dyDescent="0.25">
      <c r="A435" t="s">
        <v>151</v>
      </c>
      <c r="B435" t="s">
        <v>47</v>
      </c>
      <c r="C435">
        <v>1455684590</v>
      </c>
    </row>
    <row r="436" spans="1:3" x14ac:dyDescent="0.25">
      <c r="A436" t="s">
        <v>151</v>
      </c>
      <c r="B436" t="s">
        <v>41</v>
      </c>
      <c r="C436">
        <v>1367215090</v>
      </c>
    </row>
    <row r="437" spans="1:3" x14ac:dyDescent="0.25">
      <c r="A437" t="s">
        <v>151</v>
      </c>
      <c r="B437" t="s">
        <v>38</v>
      </c>
      <c r="C437">
        <v>1278738180</v>
      </c>
    </row>
    <row r="438" spans="1:3" x14ac:dyDescent="0.25">
      <c r="A438" t="s">
        <v>151</v>
      </c>
      <c r="B438" t="s">
        <v>52</v>
      </c>
      <c r="C438">
        <v>277253930</v>
      </c>
    </row>
    <row r="439" spans="1:3" x14ac:dyDescent="0.25">
      <c r="A439" t="s">
        <v>151</v>
      </c>
      <c r="B439" t="s">
        <v>100</v>
      </c>
      <c r="C439">
        <v>224331000</v>
      </c>
    </row>
    <row r="440" spans="1:3" x14ac:dyDescent="0.25">
      <c r="A440" t="s">
        <v>151</v>
      </c>
      <c r="B440" t="s">
        <v>46</v>
      </c>
      <c r="C440">
        <v>105599610</v>
      </c>
    </row>
    <row r="441" spans="1:3" x14ac:dyDescent="0.25">
      <c r="A441" t="s">
        <v>151</v>
      </c>
      <c r="B441" t="s">
        <v>67</v>
      </c>
      <c r="C441">
        <v>89111800</v>
      </c>
    </row>
    <row r="442" spans="1:3" x14ac:dyDescent="0.25">
      <c r="A442" t="s">
        <v>151</v>
      </c>
      <c r="B442" t="s">
        <v>97</v>
      </c>
      <c r="C442">
        <v>34617500</v>
      </c>
    </row>
    <row r="443" spans="1:3" x14ac:dyDescent="0.25">
      <c r="A443" t="s">
        <v>151</v>
      </c>
      <c r="B443" t="s">
        <v>104</v>
      </c>
      <c r="C443">
        <v>7352550</v>
      </c>
    </row>
    <row r="444" spans="1:3" x14ac:dyDescent="0.25">
      <c r="A444" t="s">
        <v>151</v>
      </c>
      <c r="B444" t="s">
        <v>114</v>
      </c>
      <c r="C444">
        <v>4932200</v>
      </c>
    </row>
    <row r="445" spans="1:3" x14ac:dyDescent="0.25">
      <c r="A445" t="s">
        <v>152</v>
      </c>
      <c r="B445" t="s">
        <v>40</v>
      </c>
      <c r="C445">
        <v>3113195530</v>
      </c>
    </row>
    <row r="446" spans="1:3" x14ac:dyDescent="0.25">
      <c r="A446" t="s">
        <v>152</v>
      </c>
      <c r="B446" t="s">
        <v>62</v>
      </c>
      <c r="C446">
        <v>2276016440</v>
      </c>
    </row>
    <row r="447" spans="1:3" x14ac:dyDescent="0.25">
      <c r="A447" t="s">
        <v>152</v>
      </c>
      <c r="B447" t="s">
        <v>65</v>
      </c>
      <c r="C447">
        <v>720166510</v>
      </c>
    </row>
    <row r="448" spans="1:3" x14ac:dyDescent="0.25">
      <c r="A448" t="s">
        <v>152</v>
      </c>
      <c r="B448" t="s">
        <v>41</v>
      </c>
      <c r="C448">
        <v>601429800</v>
      </c>
    </row>
    <row r="449" spans="1:3" x14ac:dyDescent="0.25">
      <c r="A449" t="s">
        <v>152</v>
      </c>
      <c r="B449" t="s">
        <v>66</v>
      </c>
      <c r="C449">
        <v>503850120</v>
      </c>
    </row>
    <row r="450" spans="1:3" x14ac:dyDescent="0.25">
      <c r="A450" t="s">
        <v>152</v>
      </c>
      <c r="B450" t="s">
        <v>54</v>
      </c>
      <c r="C450">
        <v>467903570</v>
      </c>
    </row>
    <row r="451" spans="1:3" x14ac:dyDescent="0.25">
      <c r="A451" t="s">
        <v>152</v>
      </c>
      <c r="B451" t="s">
        <v>60</v>
      </c>
      <c r="C451">
        <v>381722820</v>
      </c>
    </row>
    <row r="452" spans="1:3" x14ac:dyDescent="0.25">
      <c r="A452" t="s">
        <v>152</v>
      </c>
      <c r="B452" t="s">
        <v>70</v>
      </c>
      <c r="C452">
        <v>294612230</v>
      </c>
    </row>
    <row r="453" spans="1:3" x14ac:dyDescent="0.25">
      <c r="A453" t="s">
        <v>152</v>
      </c>
      <c r="B453" t="s">
        <v>61</v>
      </c>
      <c r="C453">
        <v>122792000</v>
      </c>
    </row>
    <row r="454" spans="1:3" x14ac:dyDescent="0.25">
      <c r="A454" t="s">
        <v>152</v>
      </c>
      <c r="B454" t="s">
        <v>47</v>
      </c>
      <c r="C454">
        <v>53379960</v>
      </c>
    </row>
    <row r="455" spans="1:3" x14ac:dyDescent="0.25">
      <c r="A455" t="s">
        <v>152</v>
      </c>
      <c r="B455" t="s">
        <v>46</v>
      </c>
      <c r="C455">
        <v>48130780</v>
      </c>
    </row>
    <row r="456" spans="1:3" x14ac:dyDescent="0.25">
      <c r="A456" t="s">
        <v>152</v>
      </c>
      <c r="B456" t="s">
        <v>125</v>
      </c>
      <c r="C456">
        <v>21737000</v>
      </c>
    </row>
    <row r="457" spans="1:3" x14ac:dyDescent="0.25">
      <c r="A457" t="s">
        <v>152</v>
      </c>
      <c r="B457" t="s">
        <v>44</v>
      </c>
      <c r="C457">
        <v>15000000</v>
      </c>
    </row>
    <row r="458" spans="1:3" x14ac:dyDescent="0.25">
      <c r="A458" t="s">
        <v>152</v>
      </c>
      <c r="B458" t="s">
        <v>71</v>
      </c>
      <c r="C458">
        <v>1415700</v>
      </c>
    </row>
    <row r="459" spans="1:3" x14ac:dyDescent="0.25">
      <c r="A459" t="s">
        <v>153</v>
      </c>
      <c r="B459" t="s">
        <v>47</v>
      </c>
      <c r="C459">
        <v>5621694060</v>
      </c>
    </row>
    <row r="460" spans="1:3" x14ac:dyDescent="0.25">
      <c r="A460" t="s">
        <v>154</v>
      </c>
      <c r="B460" t="s">
        <v>46</v>
      </c>
      <c r="C460">
        <v>265158820</v>
      </c>
    </row>
    <row r="461" spans="1:3" x14ac:dyDescent="0.25">
      <c r="A461" t="s">
        <v>154</v>
      </c>
      <c r="B461" t="s">
        <v>40</v>
      </c>
      <c r="C461">
        <v>124189800</v>
      </c>
    </row>
    <row r="462" spans="1:3" x14ac:dyDescent="0.25">
      <c r="A462" t="s">
        <v>154</v>
      </c>
      <c r="B462" t="s">
        <v>47</v>
      </c>
      <c r="C462">
        <v>2310000</v>
      </c>
    </row>
    <row r="463" spans="1:3" x14ac:dyDescent="0.25">
      <c r="A463" t="s">
        <v>155</v>
      </c>
      <c r="B463" t="s">
        <v>41</v>
      </c>
      <c r="C463">
        <v>105143080</v>
      </c>
    </row>
    <row r="464" spans="1:3" x14ac:dyDescent="0.25">
      <c r="A464" t="s">
        <v>155</v>
      </c>
      <c r="B464" t="s">
        <v>46</v>
      </c>
      <c r="C464">
        <v>38182560</v>
      </c>
    </row>
    <row r="465" spans="1:3" x14ac:dyDescent="0.25">
      <c r="A465" t="s">
        <v>155</v>
      </c>
      <c r="B465" t="s">
        <v>47</v>
      </c>
      <c r="C465">
        <v>198000</v>
      </c>
    </row>
    <row r="466" spans="1:3" x14ac:dyDescent="0.25">
      <c r="A466" t="s">
        <v>15</v>
      </c>
      <c r="B466" t="s">
        <v>24</v>
      </c>
      <c r="C466">
        <v>2544539634280</v>
      </c>
    </row>
    <row r="467" spans="1:3" x14ac:dyDescent="0.25">
      <c r="A467" t="s">
        <v>15</v>
      </c>
      <c r="B467" t="s">
        <v>22</v>
      </c>
      <c r="C467">
        <v>188102762890</v>
      </c>
    </row>
    <row r="468" spans="1:3" x14ac:dyDescent="0.25">
      <c r="A468" t="s">
        <v>15</v>
      </c>
      <c r="B468" t="s">
        <v>96</v>
      </c>
      <c r="C468">
        <v>98635313510</v>
      </c>
    </row>
    <row r="469" spans="1:3" x14ac:dyDescent="0.25">
      <c r="A469" t="s">
        <v>15</v>
      </c>
      <c r="B469" t="s">
        <v>47</v>
      </c>
      <c r="C469">
        <v>50850474030</v>
      </c>
    </row>
    <row r="470" spans="1:3" x14ac:dyDescent="0.25">
      <c r="A470" t="s">
        <v>15</v>
      </c>
      <c r="B470" t="s">
        <v>71</v>
      </c>
      <c r="C470">
        <v>33908745020</v>
      </c>
    </row>
    <row r="471" spans="1:3" x14ac:dyDescent="0.25">
      <c r="A471" t="s">
        <v>15</v>
      </c>
      <c r="B471" t="s">
        <v>94</v>
      </c>
      <c r="C471">
        <v>21602791870</v>
      </c>
    </row>
    <row r="472" spans="1:3" x14ac:dyDescent="0.25">
      <c r="A472" t="s">
        <v>15</v>
      </c>
      <c r="B472" t="s">
        <v>143</v>
      </c>
      <c r="C472">
        <v>5192012040</v>
      </c>
    </row>
    <row r="473" spans="1:3" x14ac:dyDescent="0.25">
      <c r="A473" t="s">
        <v>15</v>
      </c>
      <c r="B473" t="s">
        <v>41</v>
      </c>
      <c r="C473">
        <v>3879194500</v>
      </c>
    </row>
    <row r="474" spans="1:3" x14ac:dyDescent="0.25">
      <c r="A474" t="s">
        <v>15</v>
      </c>
      <c r="B474" t="s">
        <v>145</v>
      </c>
      <c r="C474">
        <v>1024902840</v>
      </c>
    </row>
    <row r="475" spans="1:3" x14ac:dyDescent="0.25">
      <c r="A475" t="s">
        <v>15</v>
      </c>
      <c r="B475" t="s">
        <v>62</v>
      </c>
      <c r="C475">
        <v>460155220</v>
      </c>
    </row>
    <row r="476" spans="1:3" x14ac:dyDescent="0.25">
      <c r="A476" t="s">
        <v>15</v>
      </c>
      <c r="B476" t="s">
        <v>46</v>
      </c>
      <c r="C476">
        <v>128296030</v>
      </c>
    </row>
    <row r="477" spans="1:3" x14ac:dyDescent="0.25">
      <c r="A477" t="s">
        <v>15</v>
      </c>
      <c r="B477" t="s">
        <v>48</v>
      </c>
      <c r="C477">
        <v>11992470</v>
      </c>
    </row>
    <row r="478" spans="1:3" x14ac:dyDescent="0.25">
      <c r="A478" t="s">
        <v>156</v>
      </c>
      <c r="B478" t="s">
        <v>63</v>
      </c>
      <c r="C478">
        <v>25728783570</v>
      </c>
    </row>
    <row r="479" spans="1:3" x14ac:dyDescent="0.25">
      <c r="A479" t="s">
        <v>156</v>
      </c>
      <c r="B479" t="s">
        <v>41</v>
      </c>
      <c r="C479">
        <v>2113746450</v>
      </c>
    </row>
    <row r="480" spans="1:3" x14ac:dyDescent="0.25">
      <c r="A480" t="s">
        <v>156</v>
      </c>
      <c r="B480" t="s">
        <v>53</v>
      </c>
      <c r="C480">
        <v>1748259560</v>
      </c>
    </row>
    <row r="481" spans="1:3" x14ac:dyDescent="0.25">
      <c r="A481" t="s">
        <v>156</v>
      </c>
      <c r="B481" t="s">
        <v>52</v>
      </c>
      <c r="C481">
        <v>451060960</v>
      </c>
    </row>
    <row r="482" spans="1:3" x14ac:dyDescent="0.25">
      <c r="A482" t="s">
        <v>156</v>
      </c>
      <c r="B482" t="s">
        <v>47</v>
      </c>
      <c r="C482">
        <v>204038080</v>
      </c>
    </row>
    <row r="483" spans="1:3" x14ac:dyDescent="0.25">
      <c r="A483" t="s">
        <v>156</v>
      </c>
      <c r="B483" t="s">
        <v>46</v>
      </c>
      <c r="C483">
        <v>26018980</v>
      </c>
    </row>
    <row r="484" spans="1:3" x14ac:dyDescent="0.25">
      <c r="A484" t="s">
        <v>156</v>
      </c>
      <c r="B484" t="s">
        <v>48</v>
      </c>
      <c r="C484">
        <v>447100</v>
      </c>
    </row>
    <row r="485" spans="1:3" x14ac:dyDescent="0.25">
      <c r="A485" t="s">
        <v>157</v>
      </c>
      <c r="B485" t="s">
        <v>53</v>
      </c>
      <c r="C485">
        <v>10297925250</v>
      </c>
    </row>
    <row r="486" spans="1:3" x14ac:dyDescent="0.25">
      <c r="A486" t="s">
        <v>157</v>
      </c>
      <c r="B486" t="s">
        <v>47</v>
      </c>
      <c r="C486">
        <v>61459790</v>
      </c>
    </row>
    <row r="487" spans="1:3" x14ac:dyDescent="0.25">
      <c r="A487" t="s">
        <v>157</v>
      </c>
      <c r="B487" t="s">
        <v>48</v>
      </c>
      <c r="C487">
        <v>10142560</v>
      </c>
    </row>
    <row r="488" spans="1:3" x14ac:dyDescent="0.25">
      <c r="A488" t="s">
        <v>158</v>
      </c>
      <c r="B488" t="s">
        <v>53</v>
      </c>
      <c r="C488">
        <v>22066435640</v>
      </c>
    </row>
    <row r="489" spans="1:3" x14ac:dyDescent="0.25">
      <c r="A489" t="s">
        <v>158</v>
      </c>
      <c r="B489" t="s">
        <v>41</v>
      </c>
      <c r="C489">
        <v>6495872650</v>
      </c>
    </row>
    <row r="490" spans="1:3" x14ac:dyDescent="0.25">
      <c r="A490" t="s">
        <v>158</v>
      </c>
      <c r="B490" t="s">
        <v>38</v>
      </c>
      <c r="C490">
        <v>721254180</v>
      </c>
    </row>
    <row r="491" spans="1:3" x14ac:dyDescent="0.25">
      <c r="A491" t="s">
        <v>158</v>
      </c>
      <c r="B491" t="s">
        <v>46</v>
      </c>
      <c r="C491">
        <v>97077400</v>
      </c>
    </row>
    <row r="492" spans="1:3" x14ac:dyDescent="0.25">
      <c r="A492" t="s">
        <v>158</v>
      </c>
      <c r="B492" t="s">
        <v>47</v>
      </c>
      <c r="C492">
        <v>33622330</v>
      </c>
    </row>
    <row r="493" spans="1:3" x14ac:dyDescent="0.25">
      <c r="A493" t="s">
        <v>158</v>
      </c>
      <c r="B493" t="s">
        <v>40</v>
      </c>
      <c r="C493">
        <v>19999970</v>
      </c>
    </row>
    <row r="494" spans="1:3" x14ac:dyDescent="0.25">
      <c r="A494" t="s">
        <v>159</v>
      </c>
      <c r="B494" t="s">
        <v>41</v>
      </c>
      <c r="C494">
        <v>24905900</v>
      </c>
    </row>
    <row r="495" spans="1:3" x14ac:dyDescent="0.25">
      <c r="A495" t="s">
        <v>160</v>
      </c>
      <c r="B495" t="s">
        <v>103</v>
      </c>
      <c r="C495">
        <v>3680889870</v>
      </c>
    </row>
    <row r="496" spans="1:3" x14ac:dyDescent="0.25">
      <c r="A496" t="s">
        <v>160</v>
      </c>
      <c r="B496" t="s">
        <v>44</v>
      </c>
      <c r="C496">
        <v>700755300</v>
      </c>
    </row>
    <row r="497" spans="1:3" x14ac:dyDescent="0.25">
      <c r="A497" t="s">
        <v>160</v>
      </c>
      <c r="B497" t="s">
        <v>41</v>
      </c>
      <c r="C497">
        <v>610895260</v>
      </c>
    </row>
    <row r="498" spans="1:3" x14ac:dyDescent="0.25">
      <c r="A498" t="s">
        <v>160</v>
      </c>
      <c r="B498" t="s">
        <v>38</v>
      </c>
      <c r="C498">
        <v>286868550</v>
      </c>
    </row>
    <row r="499" spans="1:3" x14ac:dyDescent="0.25">
      <c r="A499" t="s">
        <v>160</v>
      </c>
      <c r="B499" t="s">
        <v>54</v>
      </c>
      <c r="C499">
        <v>50000000</v>
      </c>
    </row>
    <row r="500" spans="1:3" x14ac:dyDescent="0.25">
      <c r="A500" t="s">
        <v>160</v>
      </c>
      <c r="B500" t="s">
        <v>47</v>
      </c>
      <c r="C500">
        <v>33971340</v>
      </c>
    </row>
    <row r="501" spans="1:3" x14ac:dyDescent="0.25">
      <c r="A501" t="s">
        <v>160</v>
      </c>
      <c r="B501" t="s">
        <v>46</v>
      </c>
      <c r="C501">
        <v>7568610</v>
      </c>
    </row>
    <row r="502" spans="1:3" x14ac:dyDescent="0.25">
      <c r="A502" t="s">
        <v>160</v>
      </c>
      <c r="B502" t="s">
        <v>55</v>
      </c>
      <c r="C502">
        <v>1115000</v>
      </c>
    </row>
    <row r="503" spans="1:3" x14ac:dyDescent="0.25">
      <c r="A503" t="s">
        <v>161</v>
      </c>
      <c r="B503" t="s">
        <v>58</v>
      </c>
      <c r="C503">
        <v>5105840350</v>
      </c>
    </row>
    <row r="504" spans="1:3" x14ac:dyDescent="0.25">
      <c r="A504" t="s">
        <v>161</v>
      </c>
      <c r="B504" t="s">
        <v>41</v>
      </c>
      <c r="C504">
        <v>51356900</v>
      </c>
    </row>
    <row r="505" spans="1:3" x14ac:dyDescent="0.25">
      <c r="A505" t="s">
        <v>161</v>
      </c>
      <c r="B505" t="s">
        <v>47</v>
      </c>
      <c r="C505">
        <v>31611670</v>
      </c>
    </row>
    <row r="506" spans="1:3" x14ac:dyDescent="0.25">
      <c r="A506" t="s">
        <v>161</v>
      </c>
      <c r="B506" t="s">
        <v>46</v>
      </c>
      <c r="C506">
        <v>25218750</v>
      </c>
    </row>
    <row r="507" spans="1:3" x14ac:dyDescent="0.25">
      <c r="A507" t="s">
        <v>161</v>
      </c>
      <c r="B507" t="s">
        <v>48</v>
      </c>
      <c r="C507">
        <v>22686520</v>
      </c>
    </row>
    <row r="508" spans="1:3" x14ac:dyDescent="0.25">
      <c r="A508" t="s">
        <v>162</v>
      </c>
      <c r="B508" t="s">
        <v>53</v>
      </c>
      <c r="C508">
        <v>57531692790</v>
      </c>
    </row>
    <row r="509" spans="1:3" x14ac:dyDescent="0.25">
      <c r="A509" t="s">
        <v>162</v>
      </c>
      <c r="B509" t="s">
        <v>41</v>
      </c>
      <c r="C509">
        <v>1316513290</v>
      </c>
    </row>
    <row r="510" spans="1:3" x14ac:dyDescent="0.25">
      <c r="A510" t="s">
        <v>162</v>
      </c>
      <c r="B510" t="s">
        <v>47</v>
      </c>
      <c r="C510">
        <v>459661600</v>
      </c>
    </row>
    <row r="511" spans="1:3" x14ac:dyDescent="0.25">
      <c r="A511" t="s">
        <v>162</v>
      </c>
      <c r="B511" t="s">
        <v>48</v>
      </c>
      <c r="C511">
        <v>123329470</v>
      </c>
    </row>
    <row r="512" spans="1:3" x14ac:dyDescent="0.25">
      <c r="A512" t="s">
        <v>163</v>
      </c>
      <c r="B512" t="s">
        <v>51</v>
      </c>
      <c r="C512">
        <v>172752321010</v>
      </c>
    </row>
    <row r="513" spans="1:3" x14ac:dyDescent="0.25">
      <c r="A513" t="s">
        <v>163</v>
      </c>
      <c r="B513" t="s">
        <v>69</v>
      </c>
      <c r="C513">
        <v>158003222400</v>
      </c>
    </row>
    <row r="514" spans="1:3" x14ac:dyDescent="0.25">
      <c r="A514" t="s">
        <v>163</v>
      </c>
      <c r="B514" t="s">
        <v>88</v>
      </c>
      <c r="C514">
        <v>24741554360</v>
      </c>
    </row>
    <row r="515" spans="1:3" x14ac:dyDescent="0.25">
      <c r="A515" t="s">
        <v>163</v>
      </c>
      <c r="B515" t="s">
        <v>41</v>
      </c>
      <c r="C515">
        <v>12394006470</v>
      </c>
    </row>
    <row r="516" spans="1:3" x14ac:dyDescent="0.25">
      <c r="A516" t="s">
        <v>163</v>
      </c>
      <c r="B516" t="s">
        <v>48</v>
      </c>
      <c r="C516">
        <v>9876027840</v>
      </c>
    </row>
    <row r="517" spans="1:3" x14ac:dyDescent="0.25">
      <c r="A517" t="s">
        <v>163</v>
      </c>
      <c r="B517" t="s">
        <v>25</v>
      </c>
      <c r="C517">
        <v>111330360</v>
      </c>
    </row>
    <row r="518" spans="1:3" x14ac:dyDescent="0.25">
      <c r="A518" t="s">
        <v>163</v>
      </c>
      <c r="B518" t="s">
        <v>47</v>
      </c>
      <c r="C518">
        <v>32226450</v>
      </c>
    </row>
    <row r="519" spans="1:3" x14ac:dyDescent="0.25">
      <c r="A519" t="s">
        <v>163</v>
      </c>
      <c r="B519" t="s">
        <v>46</v>
      </c>
      <c r="C519">
        <v>950030</v>
      </c>
    </row>
    <row r="520" spans="1:3" x14ac:dyDescent="0.25">
      <c r="A520" t="s">
        <v>164</v>
      </c>
      <c r="B520" t="s">
        <v>60</v>
      </c>
      <c r="C520">
        <v>3639528570</v>
      </c>
    </row>
    <row r="521" spans="1:3" x14ac:dyDescent="0.25">
      <c r="A521" t="s">
        <v>164</v>
      </c>
      <c r="B521" t="s">
        <v>41</v>
      </c>
      <c r="C521">
        <v>76714440</v>
      </c>
    </row>
    <row r="522" spans="1:3" x14ac:dyDescent="0.25">
      <c r="A522" t="s">
        <v>164</v>
      </c>
      <c r="B522" t="s">
        <v>47</v>
      </c>
      <c r="C522">
        <v>29470000</v>
      </c>
    </row>
    <row r="523" spans="1:3" x14ac:dyDescent="0.25">
      <c r="A523" t="s">
        <v>164</v>
      </c>
      <c r="B523" t="s">
        <v>46</v>
      </c>
      <c r="C523">
        <v>3230590</v>
      </c>
    </row>
    <row r="524" spans="1:3" x14ac:dyDescent="0.25">
      <c r="A524" t="s">
        <v>164</v>
      </c>
      <c r="B524" t="s">
        <v>48</v>
      </c>
      <c r="C524">
        <v>188000</v>
      </c>
    </row>
    <row r="525" spans="1:3" x14ac:dyDescent="0.25">
      <c r="A525" t="s">
        <v>165</v>
      </c>
      <c r="B525" t="s">
        <v>19</v>
      </c>
      <c r="C525">
        <v>341489590960</v>
      </c>
    </row>
    <row r="526" spans="1:3" x14ac:dyDescent="0.25">
      <c r="A526" t="s">
        <v>165</v>
      </c>
      <c r="B526" t="s">
        <v>24</v>
      </c>
      <c r="C526">
        <v>103219343750</v>
      </c>
    </row>
    <row r="527" spans="1:3" x14ac:dyDescent="0.25">
      <c r="A527" t="s">
        <v>165</v>
      </c>
      <c r="B527" t="s">
        <v>41</v>
      </c>
      <c r="C527">
        <v>19448947930</v>
      </c>
    </row>
    <row r="528" spans="1:3" x14ac:dyDescent="0.25">
      <c r="A528" t="s">
        <v>165</v>
      </c>
      <c r="B528" t="s">
        <v>47</v>
      </c>
      <c r="C528">
        <v>14385472000</v>
      </c>
    </row>
    <row r="529" spans="1:3" x14ac:dyDescent="0.25">
      <c r="A529" t="s">
        <v>165</v>
      </c>
      <c r="B529" t="s">
        <v>53</v>
      </c>
      <c r="C529">
        <v>7925053100</v>
      </c>
    </row>
    <row r="530" spans="1:3" x14ac:dyDescent="0.25">
      <c r="A530" t="s">
        <v>165</v>
      </c>
      <c r="B530" t="s">
        <v>48</v>
      </c>
      <c r="C530">
        <v>6308913030</v>
      </c>
    </row>
    <row r="531" spans="1:3" x14ac:dyDescent="0.25">
      <c r="A531" t="s">
        <v>165</v>
      </c>
      <c r="B531" t="s">
        <v>38</v>
      </c>
      <c r="C531">
        <v>1654614490</v>
      </c>
    </row>
    <row r="532" spans="1:3" x14ac:dyDescent="0.25">
      <c r="A532" t="s">
        <v>165</v>
      </c>
      <c r="B532" t="s">
        <v>40</v>
      </c>
      <c r="C532">
        <v>200000000</v>
      </c>
    </row>
    <row r="533" spans="1:3" x14ac:dyDescent="0.25">
      <c r="A533" t="s">
        <v>165</v>
      </c>
      <c r="B533" t="s">
        <v>21</v>
      </c>
      <c r="C533">
        <v>98500000</v>
      </c>
    </row>
    <row r="534" spans="1:3" x14ac:dyDescent="0.25">
      <c r="A534" t="s">
        <v>165</v>
      </c>
      <c r="B534" t="s">
        <v>46</v>
      </c>
      <c r="C534">
        <v>14246450</v>
      </c>
    </row>
    <row r="535" spans="1:3" x14ac:dyDescent="0.25">
      <c r="A535" t="s">
        <v>166</v>
      </c>
      <c r="B535" t="s">
        <v>84</v>
      </c>
      <c r="C535">
        <v>21510446490</v>
      </c>
    </row>
    <row r="536" spans="1:3" x14ac:dyDescent="0.25">
      <c r="A536" t="s">
        <v>166</v>
      </c>
      <c r="B536" t="s">
        <v>48</v>
      </c>
      <c r="C536">
        <v>637018800</v>
      </c>
    </row>
    <row r="537" spans="1:3" x14ac:dyDescent="0.25">
      <c r="A537" t="s">
        <v>166</v>
      </c>
      <c r="B537" t="s">
        <v>41</v>
      </c>
      <c r="C537">
        <v>369324190</v>
      </c>
    </row>
    <row r="538" spans="1:3" x14ac:dyDescent="0.25">
      <c r="A538" t="s">
        <v>166</v>
      </c>
      <c r="B538" t="s">
        <v>38</v>
      </c>
      <c r="C538">
        <v>337063610</v>
      </c>
    </row>
    <row r="539" spans="1:3" x14ac:dyDescent="0.25">
      <c r="A539" t="s">
        <v>166</v>
      </c>
      <c r="B539" t="s">
        <v>46</v>
      </c>
      <c r="C539">
        <v>35541250</v>
      </c>
    </row>
    <row r="540" spans="1:3" x14ac:dyDescent="0.25">
      <c r="A540" t="s">
        <v>167</v>
      </c>
      <c r="B540" t="s">
        <v>61</v>
      </c>
      <c r="C540">
        <v>88384147980</v>
      </c>
    </row>
    <row r="541" spans="1:3" x14ac:dyDescent="0.25">
      <c r="A541" t="s">
        <v>167</v>
      </c>
      <c r="B541" t="s">
        <v>137</v>
      </c>
      <c r="C541">
        <v>18543046270</v>
      </c>
    </row>
    <row r="542" spans="1:3" x14ac:dyDescent="0.25">
      <c r="A542" t="s">
        <v>167</v>
      </c>
      <c r="B542" t="s">
        <v>44</v>
      </c>
      <c r="C542">
        <v>2152242280</v>
      </c>
    </row>
    <row r="543" spans="1:3" x14ac:dyDescent="0.25">
      <c r="A543" t="s">
        <v>167</v>
      </c>
      <c r="B543" t="s">
        <v>47</v>
      </c>
      <c r="C543">
        <v>1958796180</v>
      </c>
    </row>
    <row r="544" spans="1:3" x14ac:dyDescent="0.25">
      <c r="A544" t="s">
        <v>167</v>
      </c>
      <c r="B544" t="s">
        <v>41</v>
      </c>
      <c r="C544">
        <v>1588030850</v>
      </c>
    </row>
    <row r="545" spans="1:3" x14ac:dyDescent="0.25">
      <c r="A545" t="s">
        <v>167</v>
      </c>
      <c r="B545" t="s">
        <v>136</v>
      </c>
      <c r="C545">
        <v>1353016140</v>
      </c>
    </row>
    <row r="546" spans="1:3" x14ac:dyDescent="0.25">
      <c r="A546" t="s">
        <v>167</v>
      </c>
      <c r="B546" t="s">
        <v>115</v>
      </c>
      <c r="C546">
        <v>1158127800</v>
      </c>
    </row>
    <row r="547" spans="1:3" x14ac:dyDescent="0.25">
      <c r="A547" t="s">
        <v>167</v>
      </c>
      <c r="B547" t="s">
        <v>66</v>
      </c>
      <c r="C547">
        <v>687300100</v>
      </c>
    </row>
    <row r="548" spans="1:3" x14ac:dyDescent="0.25">
      <c r="A548" t="s">
        <v>167</v>
      </c>
      <c r="B548" t="s">
        <v>71</v>
      </c>
      <c r="C548">
        <v>34850580</v>
      </c>
    </row>
    <row r="549" spans="1:3" x14ac:dyDescent="0.25">
      <c r="A549" t="s">
        <v>167</v>
      </c>
      <c r="B549" t="s">
        <v>46</v>
      </c>
      <c r="C549">
        <v>14291160</v>
      </c>
    </row>
    <row r="550" spans="1:3" x14ac:dyDescent="0.25">
      <c r="A550" t="s">
        <v>168</v>
      </c>
      <c r="B550" t="s">
        <v>68</v>
      </c>
      <c r="C550">
        <v>5723498870</v>
      </c>
    </row>
    <row r="551" spans="1:3" x14ac:dyDescent="0.25">
      <c r="A551" t="s">
        <v>168</v>
      </c>
      <c r="B551" t="s">
        <v>41</v>
      </c>
      <c r="C551">
        <v>1794223870</v>
      </c>
    </row>
    <row r="552" spans="1:3" x14ac:dyDescent="0.25">
      <c r="A552" t="s">
        <v>168</v>
      </c>
      <c r="B552" t="s">
        <v>114</v>
      </c>
      <c r="C552">
        <v>192299320</v>
      </c>
    </row>
    <row r="553" spans="1:3" x14ac:dyDescent="0.25">
      <c r="A553" t="s">
        <v>168</v>
      </c>
      <c r="B553" t="s">
        <v>47</v>
      </c>
      <c r="C553">
        <v>29363980</v>
      </c>
    </row>
    <row r="554" spans="1:3" x14ac:dyDescent="0.25">
      <c r="A554" t="s">
        <v>168</v>
      </c>
      <c r="B554" t="s">
        <v>40</v>
      </c>
      <c r="C554">
        <v>382800</v>
      </c>
    </row>
    <row r="555" spans="1:3" x14ac:dyDescent="0.25">
      <c r="A555" t="s">
        <v>168</v>
      </c>
      <c r="B555" t="s">
        <v>46</v>
      </c>
      <c r="C555">
        <v>265290</v>
      </c>
    </row>
    <row r="556" spans="1:3" x14ac:dyDescent="0.25">
      <c r="A556" t="s">
        <v>169</v>
      </c>
      <c r="B556" t="s">
        <v>46</v>
      </c>
      <c r="C556">
        <v>2492424380</v>
      </c>
    </row>
    <row r="557" spans="1:3" x14ac:dyDescent="0.25">
      <c r="A557" t="s">
        <v>169</v>
      </c>
      <c r="B557" t="s">
        <v>41</v>
      </c>
      <c r="C557">
        <v>40814480</v>
      </c>
    </row>
    <row r="558" spans="1:3" x14ac:dyDescent="0.25">
      <c r="A558" t="s">
        <v>169</v>
      </c>
      <c r="B558" t="s">
        <v>47</v>
      </c>
      <c r="C558">
        <v>1536000</v>
      </c>
    </row>
    <row r="559" spans="1:3" x14ac:dyDescent="0.25">
      <c r="A559" t="s">
        <v>170</v>
      </c>
      <c r="B559" t="s">
        <v>171</v>
      </c>
      <c r="C559">
        <v>315916137070</v>
      </c>
    </row>
    <row r="560" spans="1:3" x14ac:dyDescent="0.25">
      <c r="A560" t="s">
        <v>170</v>
      </c>
      <c r="B560" t="s">
        <v>172</v>
      </c>
      <c r="C560">
        <v>16918027250</v>
      </c>
    </row>
    <row r="561" spans="1:3" x14ac:dyDescent="0.25">
      <c r="A561" t="s">
        <v>170</v>
      </c>
      <c r="B561" t="s">
        <v>97</v>
      </c>
      <c r="C561">
        <v>7045503700</v>
      </c>
    </row>
    <row r="562" spans="1:3" x14ac:dyDescent="0.25">
      <c r="A562" t="s">
        <v>170</v>
      </c>
      <c r="B562" t="s">
        <v>100</v>
      </c>
      <c r="C562">
        <v>3449914370</v>
      </c>
    </row>
    <row r="563" spans="1:3" x14ac:dyDescent="0.25">
      <c r="A563" t="s">
        <v>170</v>
      </c>
      <c r="B563" t="s">
        <v>41</v>
      </c>
      <c r="C563">
        <v>1400184920</v>
      </c>
    </row>
    <row r="564" spans="1:3" x14ac:dyDescent="0.25">
      <c r="A564" t="s">
        <v>170</v>
      </c>
      <c r="B564" t="s">
        <v>104</v>
      </c>
      <c r="C564">
        <v>429485810</v>
      </c>
    </row>
    <row r="565" spans="1:3" x14ac:dyDescent="0.25">
      <c r="A565" t="s">
        <v>170</v>
      </c>
      <c r="B565" t="s">
        <v>46</v>
      </c>
      <c r="C565">
        <v>190703950</v>
      </c>
    </row>
    <row r="566" spans="1:3" x14ac:dyDescent="0.25">
      <c r="A566" t="s">
        <v>170</v>
      </c>
      <c r="B566" t="s">
        <v>92</v>
      </c>
      <c r="C566">
        <v>44890130</v>
      </c>
    </row>
    <row r="567" spans="1:3" x14ac:dyDescent="0.25">
      <c r="A567" t="s">
        <v>170</v>
      </c>
      <c r="B567" t="s">
        <v>48</v>
      </c>
      <c r="C567">
        <v>16458080</v>
      </c>
    </row>
    <row r="568" spans="1:3" x14ac:dyDescent="0.25">
      <c r="A568" t="s">
        <v>11</v>
      </c>
      <c r="B568" t="s">
        <v>20</v>
      </c>
      <c r="C568">
        <v>836079750790</v>
      </c>
    </row>
    <row r="569" spans="1:3" x14ac:dyDescent="0.25">
      <c r="A569" t="s">
        <v>11</v>
      </c>
      <c r="B569" t="s">
        <v>100</v>
      </c>
      <c r="C569">
        <v>7502058000</v>
      </c>
    </row>
    <row r="570" spans="1:3" x14ac:dyDescent="0.25">
      <c r="A570" t="s">
        <v>11</v>
      </c>
      <c r="B570" t="s">
        <v>41</v>
      </c>
      <c r="C570">
        <v>4260925010</v>
      </c>
    </row>
    <row r="571" spans="1:3" x14ac:dyDescent="0.25">
      <c r="A571" t="s">
        <v>11</v>
      </c>
      <c r="B571" t="s">
        <v>135</v>
      </c>
      <c r="C571">
        <v>3513515000</v>
      </c>
    </row>
    <row r="572" spans="1:3" x14ac:dyDescent="0.25">
      <c r="A572" t="s">
        <v>11</v>
      </c>
      <c r="B572" t="s">
        <v>114</v>
      </c>
      <c r="C572">
        <v>2886449600</v>
      </c>
    </row>
    <row r="573" spans="1:3" x14ac:dyDescent="0.25">
      <c r="A573" t="s">
        <v>11</v>
      </c>
      <c r="B573" t="s">
        <v>95</v>
      </c>
      <c r="C573">
        <v>2282580600</v>
      </c>
    </row>
    <row r="574" spans="1:3" x14ac:dyDescent="0.25">
      <c r="A574" t="s">
        <v>11</v>
      </c>
      <c r="B574" t="s">
        <v>104</v>
      </c>
      <c r="C574">
        <v>1145466640</v>
      </c>
    </row>
    <row r="575" spans="1:3" x14ac:dyDescent="0.25">
      <c r="A575" t="s">
        <v>11</v>
      </c>
      <c r="B575" t="s">
        <v>53</v>
      </c>
      <c r="C575">
        <v>1094486610</v>
      </c>
    </row>
    <row r="576" spans="1:3" x14ac:dyDescent="0.25">
      <c r="A576" t="s">
        <v>11</v>
      </c>
      <c r="B576" t="s">
        <v>48</v>
      </c>
      <c r="C576">
        <v>262295390</v>
      </c>
    </row>
    <row r="577" spans="1:3" x14ac:dyDescent="0.25">
      <c r="A577" t="s">
        <v>11</v>
      </c>
      <c r="B577" t="s">
        <v>113</v>
      </c>
      <c r="C577">
        <v>192726800</v>
      </c>
    </row>
    <row r="578" spans="1:3" x14ac:dyDescent="0.25">
      <c r="A578" t="s">
        <v>11</v>
      </c>
      <c r="B578" t="s">
        <v>46</v>
      </c>
      <c r="C578">
        <v>43939740</v>
      </c>
    </row>
    <row r="579" spans="1:3" x14ac:dyDescent="0.25">
      <c r="A579" t="s">
        <v>173</v>
      </c>
      <c r="B579" t="s">
        <v>55</v>
      </c>
      <c r="C579">
        <v>5181800300</v>
      </c>
    </row>
    <row r="580" spans="1:3" x14ac:dyDescent="0.25">
      <c r="A580" t="s">
        <v>173</v>
      </c>
      <c r="B580" t="s">
        <v>41</v>
      </c>
      <c r="C580">
        <v>5126375180</v>
      </c>
    </row>
    <row r="581" spans="1:3" x14ac:dyDescent="0.25">
      <c r="A581" t="s">
        <v>173</v>
      </c>
      <c r="B581" t="s">
        <v>48</v>
      </c>
      <c r="C581">
        <v>2070803470</v>
      </c>
    </row>
    <row r="582" spans="1:3" x14ac:dyDescent="0.25">
      <c r="A582" t="s">
        <v>173</v>
      </c>
      <c r="B582" t="s">
        <v>53</v>
      </c>
      <c r="C582">
        <v>1391076640</v>
      </c>
    </row>
    <row r="583" spans="1:3" x14ac:dyDescent="0.25">
      <c r="A583" t="s">
        <v>173</v>
      </c>
      <c r="B583" t="s">
        <v>62</v>
      </c>
      <c r="C583">
        <v>315355300</v>
      </c>
    </row>
    <row r="584" spans="1:3" x14ac:dyDescent="0.25">
      <c r="A584" t="s">
        <v>173</v>
      </c>
      <c r="B584" t="s">
        <v>47</v>
      </c>
      <c r="C584">
        <v>55649480</v>
      </c>
    </row>
    <row r="585" spans="1:3" x14ac:dyDescent="0.25">
      <c r="A585" t="s">
        <v>173</v>
      </c>
      <c r="B585" t="s">
        <v>66</v>
      </c>
      <c r="C585">
        <v>52399010</v>
      </c>
    </row>
    <row r="586" spans="1:3" x14ac:dyDescent="0.25">
      <c r="A586" t="s">
        <v>173</v>
      </c>
      <c r="B586" t="s">
        <v>61</v>
      </c>
      <c r="C586">
        <v>29157600</v>
      </c>
    </row>
    <row r="587" spans="1:3" x14ac:dyDescent="0.25">
      <c r="A587" t="s">
        <v>173</v>
      </c>
      <c r="B587" t="s">
        <v>40</v>
      </c>
      <c r="C587">
        <v>22872680</v>
      </c>
    </row>
    <row r="588" spans="1:3" x14ac:dyDescent="0.25">
      <c r="A588" t="s">
        <v>174</v>
      </c>
      <c r="B588" t="s">
        <v>94</v>
      </c>
      <c r="C588">
        <v>1185097350</v>
      </c>
    </row>
    <row r="589" spans="1:3" x14ac:dyDescent="0.25">
      <c r="A589" t="s">
        <v>174</v>
      </c>
      <c r="B589" t="s">
        <v>96</v>
      </c>
      <c r="C589">
        <v>402953300</v>
      </c>
    </row>
    <row r="590" spans="1:3" x14ac:dyDescent="0.25">
      <c r="A590" t="s">
        <v>174</v>
      </c>
      <c r="B590" t="s">
        <v>47</v>
      </c>
      <c r="C590">
        <v>347978820</v>
      </c>
    </row>
    <row r="591" spans="1:3" x14ac:dyDescent="0.25">
      <c r="A591" t="s">
        <v>174</v>
      </c>
      <c r="B591" t="s">
        <v>46</v>
      </c>
      <c r="C591">
        <v>26774810</v>
      </c>
    </row>
    <row r="592" spans="1:3" x14ac:dyDescent="0.25">
      <c r="A592" t="s">
        <v>174</v>
      </c>
      <c r="B592" t="s">
        <v>41</v>
      </c>
      <c r="C592">
        <v>24119840</v>
      </c>
    </row>
    <row r="593" spans="1:3" x14ac:dyDescent="0.25">
      <c r="A593" t="s">
        <v>174</v>
      </c>
      <c r="B593" t="s">
        <v>48</v>
      </c>
      <c r="C593">
        <v>629000</v>
      </c>
    </row>
    <row r="594" spans="1:3" x14ac:dyDescent="0.25">
      <c r="A594" t="s">
        <v>175</v>
      </c>
      <c r="B594" t="s">
        <v>60</v>
      </c>
      <c r="C594">
        <v>85491093510</v>
      </c>
    </row>
    <row r="595" spans="1:3" x14ac:dyDescent="0.25">
      <c r="A595" t="s">
        <v>175</v>
      </c>
      <c r="B595" t="s">
        <v>41</v>
      </c>
      <c r="C595">
        <v>1359616700</v>
      </c>
    </row>
    <row r="596" spans="1:3" x14ac:dyDescent="0.25">
      <c r="A596" t="s">
        <v>175</v>
      </c>
      <c r="B596" t="s">
        <v>46</v>
      </c>
      <c r="C596">
        <v>507150450</v>
      </c>
    </row>
    <row r="597" spans="1:3" x14ac:dyDescent="0.25">
      <c r="A597" t="s">
        <v>175</v>
      </c>
      <c r="B597" t="s">
        <v>47</v>
      </c>
      <c r="C597">
        <v>9753200</v>
      </c>
    </row>
    <row r="598" spans="1:3" x14ac:dyDescent="0.25">
      <c r="A598" t="s">
        <v>175</v>
      </c>
      <c r="B598" t="s">
        <v>48</v>
      </c>
      <c r="C598">
        <v>8416900</v>
      </c>
    </row>
    <row r="599" spans="1:3" x14ac:dyDescent="0.25">
      <c r="A599" t="s">
        <v>176</v>
      </c>
      <c r="B599" t="s">
        <v>40</v>
      </c>
      <c r="C599">
        <v>13908711310</v>
      </c>
    </row>
    <row r="600" spans="1:3" x14ac:dyDescent="0.25">
      <c r="A600" t="s">
        <v>176</v>
      </c>
      <c r="B600" t="s">
        <v>41</v>
      </c>
      <c r="C600">
        <v>456235520</v>
      </c>
    </row>
    <row r="601" spans="1:3" x14ac:dyDescent="0.25">
      <c r="A601" t="s">
        <v>176</v>
      </c>
      <c r="B601" t="s">
        <v>47</v>
      </c>
      <c r="C601">
        <v>70401680</v>
      </c>
    </row>
    <row r="602" spans="1:3" x14ac:dyDescent="0.25">
      <c r="A602" t="s">
        <v>176</v>
      </c>
      <c r="B602" t="s">
        <v>46</v>
      </c>
      <c r="C602">
        <v>36197940</v>
      </c>
    </row>
    <row r="603" spans="1:3" x14ac:dyDescent="0.25">
      <c r="A603" t="s">
        <v>177</v>
      </c>
      <c r="B603" t="s">
        <v>56</v>
      </c>
      <c r="C603">
        <v>4945019760</v>
      </c>
    </row>
    <row r="604" spans="1:3" x14ac:dyDescent="0.25">
      <c r="A604" t="s">
        <v>177</v>
      </c>
      <c r="B604" t="s">
        <v>41</v>
      </c>
      <c r="C604">
        <v>79280990</v>
      </c>
    </row>
    <row r="605" spans="1:3" x14ac:dyDescent="0.25">
      <c r="A605" t="s">
        <v>177</v>
      </c>
      <c r="B605" t="s">
        <v>47</v>
      </c>
      <c r="C605">
        <v>27741330</v>
      </c>
    </row>
    <row r="606" spans="1:3" x14ac:dyDescent="0.25">
      <c r="A606" t="s">
        <v>177</v>
      </c>
      <c r="B606" t="s">
        <v>38</v>
      </c>
      <c r="C606">
        <v>2961000</v>
      </c>
    </row>
    <row r="607" spans="1:3" x14ac:dyDescent="0.25">
      <c r="A607" t="s">
        <v>177</v>
      </c>
      <c r="B607" t="s">
        <v>46</v>
      </c>
      <c r="C607">
        <v>2309500</v>
      </c>
    </row>
    <row r="608" spans="1:3" x14ac:dyDescent="0.25">
      <c r="A608" t="s">
        <v>178</v>
      </c>
      <c r="B608" t="s">
        <v>179</v>
      </c>
      <c r="C608">
        <v>3487684260</v>
      </c>
    </row>
    <row r="609" spans="1:3" x14ac:dyDescent="0.25">
      <c r="A609" t="s">
        <v>178</v>
      </c>
      <c r="B609" t="s">
        <v>41</v>
      </c>
      <c r="C609">
        <v>70956300</v>
      </c>
    </row>
    <row r="610" spans="1:3" x14ac:dyDescent="0.25">
      <c r="A610" t="s">
        <v>178</v>
      </c>
      <c r="B610" t="s">
        <v>47</v>
      </c>
      <c r="C610">
        <v>19221000</v>
      </c>
    </row>
    <row r="611" spans="1:3" x14ac:dyDescent="0.25">
      <c r="A611" t="s">
        <v>178</v>
      </c>
      <c r="B611" t="s">
        <v>46</v>
      </c>
      <c r="C611">
        <v>16071150</v>
      </c>
    </row>
    <row r="612" spans="1:3" x14ac:dyDescent="0.25">
      <c r="A612" t="s">
        <v>180</v>
      </c>
      <c r="B612" t="s">
        <v>171</v>
      </c>
      <c r="C612">
        <v>2977939200</v>
      </c>
    </row>
    <row r="613" spans="1:3" x14ac:dyDescent="0.25">
      <c r="A613" t="s">
        <v>180</v>
      </c>
      <c r="B613" t="s">
        <v>41</v>
      </c>
      <c r="C613">
        <v>74452500</v>
      </c>
    </row>
    <row r="614" spans="1:3" x14ac:dyDescent="0.25">
      <c r="A614" t="s">
        <v>180</v>
      </c>
      <c r="B614" t="s">
        <v>46</v>
      </c>
      <c r="C614">
        <v>30860370</v>
      </c>
    </row>
    <row r="615" spans="1:3" x14ac:dyDescent="0.25">
      <c r="A615" t="s">
        <v>180</v>
      </c>
      <c r="B615" t="s">
        <v>47</v>
      </c>
      <c r="C615">
        <v>30229200</v>
      </c>
    </row>
    <row r="616" spans="1:3" x14ac:dyDescent="0.25">
      <c r="A616" t="s">
        <v>180</v>
      </c>
      <c r="B616" t="s">
        <v>38</v>
      </c>
      <c r="C616">
        <v>1089000</v>
      </c>
    </row>
    <row r="617" spans="1:3" x14ac:dyDescent="0.25">
      <c r="A617" t="s">
        <v>181</v>
      </c>
      <c r="B617" t="s">
        <v>171</v>
      </c>
      <c r="C617">
        <v>10926987470</v>
      </c>
    </row>
    <row r="618" spans="1:3" x14ac:dyDescent="0.25">
      <c r="A618" t="s">
        <v>181</v>
      </c>
      <c r="B618" t="s">
        <v>172</v>
      </c>
      <c r="C618">
        <v>8019125390</v>
      </c>
    </row>
    <row r="619" spans="1:3" x14ac:dyDescent="0.25">
      <c r="A619" t="s">
        <v>181</v>
      </c>
      <c r="B619" t="s">
        <v>41</v>
      </c>
      <c r="C619">
        <v>727056980</v>
      </c>
    </row>
    <row r="620" spans="1:3" x14ac:dyDescent="0.25">
      <c r="A620" t="s">
        <v>181</v>
      </c>
      <c r="B620" t="s">
        <v>104</v>
      </c>
      <c r="C620">
        <v>8126880</v>
      </c>
    </row>
    <row r="621" spans="1:3" x14ac:dyDescent="0.25">
      <c r="A621" t="s">
        <v>182</v>
      </c>
      <c r="B621" t="s">
        <v>52</v>
      </c>
      <c r="C621">
        <v>10238064020</v>
      </c>
    </row>
    <row r="622" spans="1:3" x14ac:dyDescent="0.25">
      <c r="A622" t="s">
        <v>182</v>
      </c>
      <c r="B622" t="s">
        <v>41</v>
      </c>
      <c r="C622">
        <v>870285320</v>
      </c>
    </row>
    <row r="623" spans="1:3" x14ac:dyDescent="0.25">
      <c r="A623" t="s">
        <v>182</v>
      </c>
      <c r="B623" t="s">
        <v>19</v>
      </c>
      <c r="C623">
        <v>246587910</v>
      </c>
    </row>
    <row r="624" spans="1:3" x14ac:dyDescent="0.25">
      <c r="A624" t="s">
        <v>182</v>
      </c>
      <c r="B624" t="s">
        <v>47</v>
      </c>
      <c r="C624">
        <v>141652500</v>
      </c>
    </row>
    <row r="625" spans="1:3" x14ac:dyDescent="0.25">
      <c r="A625" t="s">
        <v>182</v>
      </c>
      <c r="B625" t="s">
        <v>48</v>
      </c>
      <c r="C625">
        <v>23195080</v>
      </c>
    </row>
    <row r="626" spans="1:3" x14ac:dyDescent="0.25">
      <c r="A626" t="s">
        <v>182</v>
      </c>
      <c r="B626" t="s">
        <v>46</v>
      </c>
      <c r="C626">
        <v>9667210</v>
      </c>
    </row>
    <row r="627" spans="1:3" x14ac:dyDescent="0.25">
      <c r="A627" t="s">
        <v>183</v>
      </c>
      <c r="B627" t="s">
        <v>41</v>
      </c>
      <c r="C627">
        <v>60259140</v>
      </c>
    </row>
    <row r="628" spans="1:3" x14ac:dyDescent="0.25">
      <c r="A628" t="s">
        <v>184</v>
      </c>
      <c r="B628" t="s">
        <v>37</v>
      </c>
      <c r="C628">
        <v>56508726110</v>
      </c>
    </row>
    <row r="629" spans="1:3" x14ac:dyDescent="0.25">
      <c r="A629" t="s">
        <v>184</v>
      </c>
      <c r="B629" t="s">
        <v>41</v>
      </c>
      <c r="C629">
        <v>2446413820</v>
      </c>
    </row>
    <row r="630" spans="1:3" x14ac:dyDescent="0.25">
      <c r="A630" t="s">
        <v>184</v>
      </c>
      <c r="B630" t="s">
        <v>47</v>
      </c>
      <c r="C630">
        <v>229932000</v>
      </c>
    </row>
    <row r="631" spans="1:3" x14ac:dyDescent="0.25">
      <c r="A631" t="s">
        <v>184</v>
      </c>
      <c r="B631" t="s">
        <v>38</v>
      </c>
      <c r="C631">
        <v>225373410</v>
      </c>
    </row>
    <row r="632" spans="1:3" x14ac:dyDescent="0.25">
      <c r="A632" t="s">
        <v>184</v>
      </c>
      <c r="B632" t="s">
        <v>46</v>
      </c>
      <c r="C632">
        <v>22281980</v>
      </c>
    </row>
    <row r="633" spans="1:3" x14ac:dyDescent="0.25">
      <c r="A633" t="s">
        <v>184</v>
      </c>
      <c r="B633" t="s">
        <v>48</v>
      </c>
      <c r="C633">
        <v>18344350</v>
      </c>
    </row>
    <row r="634" spans="1:3" x14ac:dyDescent="0.25">
      <c r="A634" t="s">
        <v>185</v>
      </c>
      <c r="B634" t="s">
        <v>89</v>
      </c>
      <c r="C634">
        <v>9250557430</v>
      </c>
    </row>
    <row r="635" spans="1:3" x14ac:dyDescent="0.25">
      <c r="A635" t="s">
        <v>185</v>
      </c>
      <c r="B635" t="s">
        <v>99</v>
      </c>
      <c r="C635">
        <v>8725693650</v>
      </c>
    </row>
    <row r="636" spans="1:3" x14ac:dyDescent="0.25">
      <c r="A636" t="s">
        <v>185</v>
      </c>
      <c r="B636" t="s">
        <v>54</v>
      </c>
      <c r="C636">
        <v>2962550120</v>
      </c>
    </row>
    <row r="637" spans="1:3" x14ac:dyDescent="0.25">
      <c r="A637" t="s">
        <v>185</v>
      </c>
      <c r="B637" t="s">
        <v>67</v>
      </c>
      <c r="C637">
        <v>1305637090</v>
      </c>
    </row>
    <row r="638" spans="1:3" x14ac:dyDescent="0.25">
      <c r="A638" t="s">
        <v>185</v>
      </c>
      <c r="B638" t="s">
        <v>186</v>
      </c>
      <c r="C638">
        <v>1250634000</v>
      </c>
    </row>
    <row r="639" spans="1:3" x14ac:dyDescent="0.25">
      <c r="A639" t="s">
        <v>185</v>
      </c>
      <c r="B639" t="s">
        <v>90</v>
      </c>
      <c r="C639">
        <v>574553850</v>
      </c>
    </row>
    <row r="640" spans="1:3" x14ac:dyDescent="0.25">
      <c r="A640" t="s">
        <v>185</v>
      </c>
      <c r="B640" t="s">
        <v>139</v>
      </c>
      <c r="C640">
        <v>339214000</v>
      </c>
    </row>
    <row r="641" spans="1:3" x14ac:dyDescent="0.25">
      <c r="A641" t="s">
        <v>185</v>
      </c>
      <c r="B641" t="s">
        <v>41</v>
      </c>
      <c r="C641">
        <v>231914320</v>
      </c>
    </row>
    <row r="642" spans="1:3" x14ac:dyDescent="0.25">
      <c r="A642" t="s">
        <v>185</v>
      </c>
      <c r="B642" t="s">
        <v>149</v>
      </c>
      <c r="C642">
        <v>157190000</v>
      </c>
    </row>
    <row r="643" spans="1:3" x14ac:dyDescent="0.25">
      <c r="A643" t="s">
        <v>185</v>
      </c>
      <c r="B643" t="s">
        <v>62</v>
      </c>
      <c r="C643">
        <v>114979260</v>
      </c>
    </row>
    <row r="644" spans="1:3" x14ac:dyDescent="0.25">
      <c r="A644" t="s">
        <v>185</v>
      </c>
      <c r="B644" t="s">
        <v>40</v>
      </c>
      <c r="C644">
        <v>68685700</v>
      </c>
    </row>
    <row r="645" spans="1:3" x14ac:dyDescent="0.25">
      <c r="A645" t="s">
        <v>185</v>
      </c>
      <c r="B645" t="s">
        <v>121</v>
      </c>
      <c r="C645">
        <v>38890000</v>
      </c>
    </row>
    <row r="646" spans="1:3" x14ac:dyDescent="0.25">
      <c r="A646" t="s">
        <v>185</v>
      </c>
      <c r="B646" t="s">
        <v>47</v>
      </c>
      <c r="C646">
        <v>24296810</v>
      </c>
    </row>
    <row r="647" spans="1:3" x14ac:dyDescent="0.25">
      <c r="A647" t="s">
        <v>185</v>
      </c>
      <c r="B647" t="s">
        <v>48</v>
      </c>
      <c r="C647">
        <v>8973020</v>
      </c>
    </row>
    <row r="648" spans="1:3" x14ac:dyDescent="0.25">
      <c r="A648" t="s">
        <v>185</v>
      </c>
      <c r="B648" t="s">
        <v>46</v>
      </c>
      <c r="C648">
        <v>798890</v>
      </c>
    </row>
    <row r="649" spans="1:3" x14ac:dyDescent="0.25">
      <c r="A649" t="s">
        <v>185</v>
      </c>
      <c r="B649" t="s">
        <v>38</v>
      </c>
      <c r="C649">
        <v>342000</v>
      </c>
    </row>
    <row r="650" spans="1:3" x14ac:dyDescent="0.25">
      <c r="A650" t="s">
        <v>187</v>
      </c>
      <c r="B650" t="s">
        <v>120</v>
      </c>
      <c r="C650">
        <v>346343940</v>
      </c>
    </row>
    <row r="651" spans="1:3" x14ac:dyDescent="0.25">
      <c r="A651" t="s">
        <v>187</v>
      </c>
      <c r="B651" t="s">
        <v>41</v>
      </c>
      <c r="C651">
        <v>147910110</v>
      </c>
    </row>
    <row r="652" spans="1:3" x14ac:dyDescent="0.25">
      <c r="A652" t="s">
        <v>187</v>
      </c>
      <c r="B652" t="s">
        <v>58</v>
      </c>
      <c r="C652">
        <v>74256830</v>
      </c>
    </row>
    <row r="653" spans="1:3" x14ac:dyDescent="0.25">
      <c r="A653" t="s">
        <v>187</v>
      </c>
      <c r="B653" t="s">
        <v>47</v>
      </c>
      <c r="C653">
        <v>912000</v>
      </c>
    </row>
    <row r="654" spans="1:3" x14ac:dyDescent="0.25">
      <c r="A654" t="s">
        <v>188</v>
      </c>
      <c r="B654" t="s">
        <v>118</v>
      </c>
      <c r="C654">
        <v>16260083430</v>
      </c>
    </row>
    <row r="655" spans="1:3" x14ac:dyDescent="0.25">
      <c r="A655" t="s">
        <v>188</v>
      </c>
      <c r="B655" t="s">
        <v>41</v>
      </c>
      <c r="C655">
        <v>276306440</v>
      </c>
    </row>
    <row r="656" spans="1:3" x14ac:dyDescent="0.25">
      <c r="A656" t="s">
        <v>188</v>
      </c>
      <c r="B656" t="s">
        <v>47</v>
      </c>
      <c r="C656">
        <v>142923000</v>
      </c>
    </row>
    <row r="657" spans="1:3" x14ac:dyDescent="0.25">
      <c r="A657" t="s">
        <v>188</v>
      </c>
      <c r="B657" t="s">
        <v>104</v>
      </c>
      <c r="C657">
        <v>136032920</v>
      </c>
    </row>
    <row r="658" spans="1:3" x14ac:dyDescent="0.25">
      <c r="A658" t="s">
        <v>188</v>
      </c>
      <c r="B658" t="s">
        <v>46</v>
      </c>
      <c r="C658">
        <v>2067320</v>
      </c>
    </row>
    <row r="659" spans="1:3" x14ac:dyDescent="0.25">
      <c r="A659" t="s">
        <v>189</v>
      </c>
      <c r="B659" t="s">
        <v>73</v>
      </c>
      <c r="C659">
        <v>5678161750</v>
      </c>
    </row>
    <row r="660" spans="1:3" x14ac:dyDescent="0.25">
      <c r="A660" t="s">
        <v>189</v>
      </c>
      <c r="B660" t="s">
        <v>47</v>
      </c>
      <c r="C660">
        <v>24762000</v>
      </c>
    </row>
    <row r="661" spans="1:3" x14ac:dyDescent="0.25">
      <c r="A661" t="s">
        <v>190</v>
      </c>
      <c r="B661" t="s">
        <v>53</v>
      </c>
      <c r="C661">
        <v>906007040</v>
      </c>
    </row>
    <row r="662" spans="1:3" x14ac:dyDescent="0.25">
      <c r="A662" t="s">
        <v>190</v>
      </c>
      <c r="B662" t="s">
        <v>41</v>
      </c>
      <c r="C662">
        <v>22544330</v>
      </c>
    </row>
    <row r="663" spans="1:3" x14ac:dyDescent="0.25">
      <c r="A663" t="s">
        <v>190</v>
      </c>
      <c r="B663" t="s">
        <v>46</v>
      </c>
      <c r="C663">
        <v>1884890</v>
      </c>
    </row>
    <row r="664" spans="1:3" x14ac:dyDescent="0.25">
      <c r="A664" t="s">
        <v>190</v>
      </c>
      <c r="B664" t="s">
        <v>47</v>
      </c>
      <c r="C664">
        <v>420000</v>
      </c>
    </row>
    <row r="665" spans="1:3" x14ac:dyDescent="0.25">
      <c r="A665" t="s">
        <v>191</v>
      </c>
      <c r="B665" t="s">
        <v>41</v>
      </c>
      <c r="C665">
        <v>913807450</v>
      </c>
    </row>
    <row r="666" spans="1:3" x14ac:dyDescent="0.25">
      <c r="A666" t="s">
        <v>192</v>
      </c>
      <c r="B666" t="s">
        <v>40</v>
      </c>
      <c r="C666">
        <v>2587635180</v>
      </c>
    </row>
    <row r="667" spans="1:3" x14ac:dyDescent="0.25">
      <c r="A667" t="s">
        <v>192</v>
      </c>
      <c r="B667" t="s">
        <v>41</v>
      </c>
      <c r="C667">
        <v>221332810</v>
      </c>
    </row>
    <row r="668" spans="1:3" x14ac:dyDescent="0.25">
      <c r="A668" t="s">
        <v>193</v>
      </c>
      <c r="B668" t="s">
        <v>21</v>
      </c>
      <c r="C668">
        <v>37729095800</v>
      </c>
    </row>
    <row r="669" spans="1:3" x14ac:dyDescent="0.25">
      <c r="A669" t="s">
        <v>193</v>
      </c>
      <c r="B669" t="s">
        <v>18</v>
      </c>
      <c r="C669">
        <v>34710147400</v>
      </c>
    </row>
    <row r="670" spans="1:3" x14ac:dyDescent="0.25">
      <c r="A670" t="s">
        <v>193</v>
      </c>
      <c r="B670" t="s">
        <v>89</v>
      </c>
      <c r="C670">
        <v>16261388800</v>
      </c>
    </row>
    <row r="671" spans="1:3" x14ac:dyDescent="0.25">
      <c r="A671" t="s">
        <v>193</v>
      </c>
      <c r="B671" t="s">
        <v>81</v>
      </c>
      <c r="C671">
        <v>9545699900</v>
      </c>
    </row>
    <row r="672" spans="1:3" x14ac:dyDescent="0.25">
      <c r="A672" t="s">
        <v>193</v>
      </c>
      <c r="B672" t="s">
        <v>82</v>
      </c>
      <c r="C672">
        <v>7866718600</v>
      </c>
    </row>
    <row r="673" spans="1:3" x14ac:dyDescent="0.25">
      <c r="A673" t="s">
        <v>193</v>
      </c>
      <c r="B673" t="s">
        <v>83</v>
      </c>
      <c r="C673">
        <v>6850267500</v>
      </c>
    </row>
    <row r="674" spans="1:3" x14ac:dyDescent="0.25">
      <c r="A674" t="s">
        <v>193</v>
      </c>
      <c r="B674" t="s">
        <v>48</v>
      </c>
      <c r="C674">
        <v>5831407770</v>
      </c>
    </row>
    <row r="675" spans="1:3" x14ac:dyDescent="0.25">
      <c r="A675" t="s">
        <v>193</v>
      </c>
      <c r="B675" t="s">
        <v>41</v>
      </c>
      <c r="C675">
        <v>5380645400</v>
      </c>
    </row>
    <row r="676" spans="1:3" x14ac:dyDescent="0.25">
      <c r="A676" t="s">
        <v>193</v>
      </c>
      <c r="B676" t="s">
        <v>85</v>
      </c>
      <c r="C676">
        <v>5174964400</v>
      </c>
    </row>
    <row r="677" spans="1:3" x14ac:dyDescent="0.25">
      <c r="A677" t="s">
        <v>193</v>
      </c>
      <c r="B677" t="s">
        <v>54</v>
      </c>
      <c r="C677">
        <v>3016700000</v>
      </c>
    </row>
    <row r="678" spans="1:3" x14ac:dyDescent="0.25">
      <c r="A678" t="s">
        <v>193</v>
      </c>
      <c r="B678" t="s">
        <v>99</v>
      </c>
      <c r="C678">
        <v>2342032700</v>
      </c>
    </row>
    <row r="679" spans="1:3" x14ac:dyDescent="0.25">
      <c r="A679" t="s">
        <v>193</v>
      </c>
      <c r="B679" t="s">
        <v>137</v>
      </c>
      <c r="C679">
        <v>2289316800</v>
      </c>
    </row>
    <row r="680" spans="1:3" x14ac:dyDescent="0.25">
      <c r="A680" t="s">
        <v>193</v>
      </c>
      <c r="B680" t="s">
        <v>59</v>
      </c>
      <c r="C680">
        <v>2088632400</v>
      </c>
    </row>
    <row r="681" spans="1:3" x14ac:dyDescent="0.25">
      <c r="A681" t="s">
        <v>193</v>
      </c>
      <c r="B681" t="s">
        <v>40</v>
      </c>
      <c r="C681">
        <v>1980526200</v>
      </c>
    </row>
    <row r="682" spans="1:3" x14ac:dyDescent="0.25">
      <c r="A682" t="s">
        <v>193</v>
      </c>
      <c r="B682" t="s">
        <v>79</v>
      </c>
      <c r="C682">
        <v>1980256500</v>
      </c>
    </row>
    <row r="683" spans="1:3" x14ac:dyDescent="0.25">
      <c r="A683" t="s">
        <v>193</v>
      </c>
      <c r="B683" t="s">
        <v>70</v>
      </c>
      <c r="C683">
        <v>1263356900</v>
      </c>
    </row>
    <row r="684" spans="1:3" x14ac:dyDescent="0.25">
      <c r="A684" t="s">
        <v>193</v>
      </c>
      <c r="B684" t="s">
        <v>62</v>
      </c>
      <c r="C684">
        <v>1089157000</v>
      </c>
    </row>
    <row r="685" spans="1:3" x14ac:dyDescent="0.25">
      <c r="A685" t="s">
        <v>193</v>
      </c>
      <c r="B685" t="s">
        <v>132</v>
      </c>
      <c r="C685">
        <v>835200000</v>
      </c>
    </row>
    <row r="686" spans="1:3" x14ac:dyDescent="0.25">
      <c r="A686" t="s">
        <v>193</v>
      </c>
      <c r="B686" t="s">
        <v>95</v>
      </c>
      <c r="C686">
        <v>738055900</v>
      </c>
    </row>
    <row r="687" spans="1:3" x14ac:dyDescent="0.25">
      <c r="A687" t="s">
        <v>193</v>
      </c>
      <c r="B687" t="s">
        <v>90</v>
      </c>
      <c r="C687">
        <v>631695800</v>
      </c>
    </row>
    <row r="688" spans="1:3" x14ac:dyDescent="0.25">
      <c r="A688" t="s">
        <v>193</v>
      </c>
      <c r="B688" t="s">
        <v>101</v>
      </c>
      <c r="C688">
        <v>414386200</v>
      </c>
    </row>
    <row r="689" spans="1:3" x14ac:dyDescent="0.25">
      <c r="A689" t="s">
        <v>193</v>
      </c>
      <c r="B689" t="s">
        <v>125</v>
      </c>
      <c r="C689">
        <v>337628100</v>
      </c>
    </row>
    <row r="690" spans="1:3" x14ac:dyDescent="0.25">
      <c r="A690" t="s">
        <v>193</v>
      </c>
      <c r="B690" t="s">
        <v>51</v>
      </c>
      <c r="C690">
        <v>255964800</v>
      </c>
    </row>
    <row r="691" spans="1:3" x14ac:dyDescent="0.25">
      <c r="A691" t="s">
        <v>193</v>
      </c>
      <c r="B691" t="s">
        <v>93</v>
      </c>
      <c r="C691">
        <v>248007000</v>
      </c>
    </row>
    <row r="692" spans="1:3" x14ac:dyDescent="0.25">
      <c r="A692" t="s">
        <v>193</v>
      </c>
      <c r="B692" t="s">
        <v>69</v>
      </c>
      <c r="C692">
        <v>95820000</v>
      </c>
    </row>
    <row r="693" spans="1:3" x14ac:dyDescent="0.25">
      <c r="A693" t="s">
        <v>193</v>
      </c>
      <c r="B693" t="s">
        <v>194</v>
      </c>
      <c r="C693">
        <v>7910000</v>
      </c>
    </row>
    <row r="694" spans="1:3" x14ac:dyDescent="0.25">
      <c r="A694" t="s">
        <v>193</v>
      </c>
      <c r="B694" t="s">
        <v>149</v>
      </c>
      <c r="C694">
        <v>880000</v>
      </c>
    </row>
    <row r="695" spans="1:3" x14ac:dyDescent="0.25">
      <c r="A695" t="s">
        <v>195</v>
      </c>
      <c r="B695" t="s">
        <v>18</v>
      </c>
      <c r="C695">
        <v>28492117500</v>
      </c>
    </row>
    <row r="696" spans="1:3" x14ac:dyDescent="0.25">
      <c r="A696" t="s">
        <v>195</v>
      </c>
      <c r="B696" t="s">
        <v>82</v>
      </c>
      <c r="C696">
        <v>16136443700</v>
      </c>
    </row>
    <row r="697" spans="1:3" x14ac:dyDescent="0.25">
      <c r="A697" t="s">
        <v>195</v>
      </c>
      <c r="B697" t="s">
        <v>85</v>
      </c>
      <c r="C697">
        <v>9835207000</v>
      </c>
    </row>
    <row r="698" spans="1:3" x14ac:dyDescent="0.25">
      <c r="A698" t="s">
        <v>195</v>
      </c>
      <c r="B698" t="s">
        <v>40</v>
      </c>
      <c r="C698">
        <v>5987388700</v>
      </c>
    </row>
    <row r="699" spans="1:3" x14ac:dyDescent="0.25">
      <c r="A699" t="s">
        <v>195</v>
      </c>
      <c r="B699" t="s">
        <v>41</v>
      </c>
      <c r="C699">
        <v>5869300810</v>
      </c>
    </row>
    <row r="700" spans="1:3" x14ac:dyDescent="0.25">
      <c r="A700" t="s">
        <v>195</v>
      </c>
      <c r="B700" t="s">
        <v>54</v>
      </c>
      <c r="C700">
        <v>1959897270</v>
      </c>
    </row>
    <row r="701" spans="1:3" x14ac:dyDescent="0.25">
      <c r="A701" t="s">
        <v>195</v>
      </c>
      <c r="B701" t="s">
        <v>47</v>
      </c>
      <c r="C701">
        <v>1648264480</v>
      </c>
    </row>
    <row r="702" spans="1:3" x14ac:dyDescent="0.25">
      <c r="A702" t="s">
        <v>195</v>
      </c>
      <c r="B702" t="s">
        <v>21</v>
      </c>
      <c r="C702">
        <v>1402459690</v>
      </c>
    </row>
    <row r="703" spans="1:3" x14ac:dyDescent="0.25">
      <c r="A703" t="s">
        <v>195</v>
      </c>
      <c r="B703" t="s">
        <v>102</v>
      </c>
      <c r="C703">
        <v>376040500</v>
      </c>
    </row>
    <row r="704" spans="1:3" x14ac:dyDescent="0.25">
      <c r="A704" t="s">
        <v>195</v>
      </c>
      <c r="B704" t="s">
        <v>95</v>
      </c>
      <c r="C704">
        <v>348136700</v>
      </c>
    </row>
    <row r="705" spans="1:3" x14ac:dyDescent="0.25">
      <c r="A705" t="s">
        <v>195</v>
      </c>
      <c r="B705" t="s">
        <v>93</v>
      </c>
      <c r="C705">
        <v>335515100</v>
      </c>
    </row>
    <row r="706" spans="1:3" x14ac:dyDescent="0.25">
      <c r="A706" t="s">
        <v>195</v>
      </c>
      <c r="B706" t="s">
        <v>25</v>
      </c>
      <c r="C706">
        <v>270534400</v>
      </c>
    </row>
    <row r="707" spans="1:3" x14ac:dyDescent="0.25">
      <c r="A707" t="s">
        <v>195</v>
      </c>
      <c r="B707" t="s">
        <v>89</v>
      </c>
      <c r="C707">
        <v>60158200</v>
      </c>
    </row>
    <row r="708" spans="1:3" x14ac:dyDescent="0.25">
      <c r="A708" t="s">
        <v>195</v>
      </c>
      <c r="B708" t="s">
        <v>62</v>
      </c>
      <c r="C708">
        <v>52164400</v>
      </c>
    </row>
    <row r="709" spans="1:3" x14ac:dyDescent="0.25">
      <c r="A709" t="s">
        <v>195</v>
      </c>
      <c r="B709" t="s">
        <v>69</v>
      </c>
      <c r="C709">
        <v>35000000</v>
      </c>
    </row>
    <row r="710" spans="1:3" x14ac:dyDescent="0.25">
      <c r="A710" t="s">
        <v>195</v>
      </c>
      <c r="B710" t="s">
        <v>97</v>
      </c>
      <c r="C710">
        <v>5190000</v>
      </c>
    </row>
    <row r="711" spans="1:3" x14ac:dyDescent="0.25">
      <c r="A711" t="s">
        <v>196</v>
      </c>
      <c r="B711" t="s">
        <v>18</v>
      </c>
      <c r="C711">
        <v>37866892850</v>
      </c>
    </row>
    <row r="712" spans="1:3" x14ac:dyDescent="0.25">
      <c r="A712" t="s">
        <v>196</v>
      </c>
      <c r="B712" t="s">
        <v>82</v>
      </c>
      <c r="C712">
        <v>23205282300</v>
      </c>
    </row>
    <row r="713" spans="1:3" x14ac:dyDescent="0.25">
      <c r="A713" t="s">
        <v>196</v>
      </c>
      <c r="B713" t="s">
        <v>85</v>
      </c>
      <c r="C713">
        <v>12129449310</v>
      </c>
    </row>
    <row r="714" spans="1:3" x14ac:dyDescent="0.25">
      <c r="A714" t="s">
        <v>196</v>
      </c>
      <c r="B714" t="s">
        <v>41</v>
      </c>
      <c r="C714">
        <v>8481481000</v>
      </c>
    </row>
    <row r="715" spans="1:3" x14ac:dyDescent="0.25">
      <c r="A715" t="s">
        <v>196</v>
      </c>
      <c r="B715" t="s">
        <v>40</v>
      </c>
      <c r="C715">
        <v>6242978440</v>
      </c>
    </row>
    <row r="716" spans="1:3" x14ac:dyDescent="0.25">
      <c r="A716" t="s">
        <v>196</v>
      </c>
      <c r="B716" t="s">
        <v>54</v>
      </c>
      <c r="C716">
        <v>2770964920</v>
      </c>
    </row>
    <row r="717" spans="1:3" x14ac:dyDescent="0.25">
      <c r="A717" t="s">
        <v>196</v>
      </c>
      <c r="B717" t="s">
        <v>47</v>
      </c>
      <c r="C717">
        <v>2262370240</v>
      </c>
    </row>
    <row r="718" spans="1:3" x14ac:dyDescent="0.25">
      <c r="A718" t="s">
        <v>196</v>
      </c>
      <c r="B718" t="s">
        <v>21</v>
      </c>
      <c r="C718">
        <v>1085634170</v>
      </c>
    </row>
    <row r="719" spans="1:3" x14ac:dyDescent="0.25">
      <c r="A719" t="s">
        <v>196</v>
      </c>
      <c r="B719" t="s">
        <v>25</v>
      </c>
      <c r="C719">
        <v>589001300</v>
      </c>
    </row>
    <row r="720" spans="1:3" x14ac:dyDescent="0.25">
      <c r="A720" t="s">
        <v>196</v>
      </c>
      <c r="B720" t="s">
        <v>102</v>
      </c>
      <c r="C720">
        <v>478521600</v>
      </c>
    </row>
    <row r="721" spans="1:3" x14ac:dyDescent="0.25">
      <c r="A721" t="s">
        <v>196</v>
      </c>
      <c r="B721" t="s">
        <v>93</v>
      </c>
      <c r="C721">
        <v>215558400</v>
      </c>
    </row>
    <row r="722" spans="1:3" x14ac:dyDescent="0.25">
      <c r="A722" t="s">
        <v>196</v>
      </c>
      <c r="B722" t="s">
        <v>90</v>
      </c>
      <c r="C722">
        <v>189166000</v>
      </c>
    </row>
    <row r="723" spans="1:3" x14ac:dyDescent="0.25">
      <c r="A723" t="s">
        <v>196</v>
      </c>
      <c r="B723" t="s">
        <v>62</v>
      </c>
      <c r="C723">
        <v>73017740</v>
      </c>
    </row>
    <row r="724" spans="1:3" x14ac:dyDescent="0.25">
      <c r="A724" t="s">
        <v>196</v>
      </c>
      <c r="B724" t="s">
        <v>89</v>
      </c>
      <c r="C724">
        <v>49978300</v>
      </c>
    </row>
    <row r="725" spans="1:3" x14ac:dyDescent="0.25">
      <c r="A725" t="s">
        <v>196</v>
      </c>
      <c r="B725" t="s">
        <v>132</v>
      </c>
      <c r="C725">
        <v>29703600</v>
      </c>
    </row>
    <row r="726" spans="1:3" x14ac:dyDescent="0.25">
      <c r="A726" t="s">
        <v>196</v>
      </c>
      <c r="B726" t="s">
        <v>69</v>
      </c>
      <c r="C726">
        <v>16000000</v>
      </c>
    </row>
    <row r="727" spans="1:3" x14ac:dyDescent="0.25">
      <c r="A727" t="s">
        <v>196</v>
      </c>
      <c r="B727" t="s">
        <v>97</v>
      </c>
      <c r="C727">
        <v>15690000</v>
      </c>
    </row>
    <row r="728" spans="1:3" x14ac:dyDescent="0.25">
      <c r="A728" t="s">
        <v>196</v>
      </c>
      <c r="B728" t="s">
        <v>46</v>
      </c>
      <c r="C728">
        <v>1260440</v>
      </c>
    </row>
    <row r="729" spans="1:3" x14ac:dyDescent="0.25">
      <c r="A729" t="s">
        <v>196</v>
      </c>
      <c r="B729" t="s">
        <v>139</v>
      </c>
      <c r="C729">
        <v>599000</v>
      </c>
    </row>
    <row r="730" spans="1:3" x14ac:dyDescent="0.25">
      <c r="A730" t="s">
        <v>197</v>
      </c>
      <c r="B730" t="s">
        <v>18</v>
      </c>
      <c r="C730">
        <v>41266954360</v>
      </c>
    </row>
    <row r="731" spans="1:3" x14ac:dyDescent="0.25">
      <c r="A731" t="s">
        <v>197</v>
      </c>
      <c r="B731" t="s">
        <v>82</v>
      </c>
      <c r="C731">
        <v>24025432740</v>
      </c>
    </row>
    <row r="732" spans="1:3" x14ac:dyDescent="0.25">
      <c r="A732" t="s">
        <v>197</v>
      </c>
      <c r="B732" t="s">
        <v>85</v>
      </c>
      <c r="C732">
        <v>11904227950</v>
      </c>
    </row>
    <row r="733" spans="1:3" x14ac:dyDescent="0.25">
      <c r="A733" t="s">
        <v>197</v>
      </c>
      <c r="B733" t="s">
        <v>41</v>
      </c>
      <c r="C733">
        <v>10281013210</v>
      </c>
    </row>
    <row r="734" spans="1:3" x14ac:dyDescent="0.25">
      <c r="A734" t="s">
        <v>197</v>
      </c>
      <c r="B734" t="s">
        <v>40</v>
      </c>
      <c r="C734">
        <v>6627801710</v>
      </c>
    </row>
    <row r="735" spans="1:3" x14ac:dyDescent="0.25">
      <c r="A735" t="s">
        <v>197</v>
      </c>
      <c r="B735" t="s">
        <v>54</v>
      </c>
      <c r="C735">
        <v>3288422670</v>
      </c>
    </row>
    <row r="736" spans="1:3" x14ac:dyDescent="0.25">
      <c r="A736" t="s">
        <v>197</v>
      </c>
      <c r="B736" t="s">
        <v>47</v>
      </c>
      <c r="C736">
        <v>2354701470</v>
      </c>
    </row>
    <row r="737" spans="1:3" x14ac:dyDescent="0.25">
      <c r="A737" t="s">
        <v>197</v>
      </c>
      <c r="B737" t="s">
        <v>25</v>
      </c>
      <c r="C737">
        <v>753780770</v>
      </c>
    </row>
    <row r="738" spans="1:3" x14ac:dyDescent="0.25">
      <c r="A738" t="s">
        <v>197</v>
      </c>
      <c r="B738" t="s">
        <v>102</v>
      </c>
      <c r="C738">
        <v>610893260</v>
      </c>
    </row>
    <row r="739" spans="1:3" x14ac:dyDescent="0.25">
      <c r="A739" t="s">
        <v>197</v>
      </c>
      <c r="B739" t="s">
        <v>21</v>
      </c>
      <c r="C739">
        <v>515843220</v>
      </c>
    </row>
    <row r="740" spans="1:3" x14ac:dyDescent="0.25">
      <c r="A740" t="s">
        <v>197</v>
      </c>
      <c r="B740" t="s">
        <v>93</v>
      </c>
      <c r="C740">
        <v>321622100</v>
      </c>
    </row>
    <row r="741" spans="1:3" x14ac:dyDescent="0.25">
      <c r="A741" t="s">
        <v>197</v>
      </c>
      <c r="B741" t="s">
        <v>52</v>
      </c>
      <c r="C741">
        <v>298490900</v>
      </c>
    </row>
    <row r="742" spans="1:3" x14ac:dyDescent="0.25">
      <c r="A742" t="s">
        <v>197</v>
      </c>
      <c r="B742" t="s">
        <v>95</v>
      </c>
      <c r="C742">
        <v>206214560</v>
      </c>
    </row>
    <row r="743" spans="1:3" x14ac:dyDescent="0.25">
      <c r="A743" t="s">
        <v>197</v>
      </c>
      <c r="B743" t="s">
        <v>139</v>
      </c>
      <c r="C743">
        <v>203504850</v>
      </c>
    </row>
    <row r="744" spans="1:3" x14ac:dyDescent="0.25">
      <c r="A744" t="s">
        <v>197</v>
      </c>
      <c r="B744" t="s">
        <v>86</v>
      </c>
      <c r="C744">
        <v>49800000</v>
      </c>
    </row>
    <row r="745" spans="1:3" x14ac:dyDescent="0.25">
      <c r="A745" t="s">
        <v>197</v>
      </c>
      <c r="B745" t="s">
        <v>62</v>
      </c>
      <c r="C745">
        <v>41762000</v>
      </c>
    </row>
    <row r="746" spans="1:3" x14ac:dyDescent="0.25">
      <c r="A746" t="s">
        <v>197</v>
      </c>
      <c r="B746" t="s">
        <v>97</v>
      </c>
      <c r="C746">
        <v>21000000</v>
      </c>
    </row>
    <row r="747" spans="1:3" x14ac:dyDescent="0.25">
      <c r="A747" t="s">
        <v>197</v>
      </c>
      <c r="B747" t="s">
        <v>46</v>
      </c>
      <c r="C747">
        <v>484380</v>
      </c>
    </row>
    <row r="748" spans="1:3" x14ac:dyDescent="0.25">
      <c r="A748" t="s">
        <v>198</v>
      </c>
      <c r="B748" t="s">
        <v>18</v>
      </c>
      <c r="C748">
        <v>41014154600</v>
      </c>
    </row>
    <row r="749" spans="1:3" x14ac:dyDescent="0.25">
      <c r="A749" t="s">
        <v>198</v>
      </c>
      <c r="B749" t="s">
        <v>82</v>
      </c>
      <c r="C749">
        <v>22510701300</v>
      </c>
    </row>
    <row r="750" spans="1:3" x14ac:dyDescent="0.25">
      <c r="A750" t="s">
        <v>198</v>
      </c>
      <c r="B750" t="s">
        <v>85</v>
      </c>
      <c r="C750">
        <v>13741777400</v>
      </c>
    </row>
    <row r="751" spans="1:3" x14ac:dyDescent="0.25">
      <c r="A751" t="s">
        <v>198</v>
      </c>
      <c r="B751" t="s">
        <v>40</v>
      </c>
      <c r="C751">
        <v>9184255980</v>
      </c>
    </row>
    <row r="752" spans="1:3" x14ac:dyDescent="0.25">
      <c r="A752" t="s">
        <v>198</v>
      </c>
      <c r="B752" t="s">
        <v>41</v>
      </c>
      <c r="C752">
        <v>8388615810</v>
      </c>
    </row>
    <row r="753" spans="1:3" x14ac:dyDescent="0.25">
      <c r="A753" t="s">
        <v>198</v>
      </c>
      <c r="B753" t="s">
        <v>54</v>
      </c>
      <c r="C753">
        <v>2756830130</v>
      </c>
    </row>
    <row r="754" spans="1:3" x14ac:dyDescent="0.25">
      <c r="A754" t="s">
        <v>198</v>
      </c>
      <c r="B754" t="s">
        <v>47</v>
      </c>
      <c r="C754">
        <v>2189061360</v>
      </c>
    </row>
    <row r="755" spans="1:3" x14ac:dyDescent="0.25">
      <c r="A755" t="s">
        <v>198</v>
      </c>
      <c r="B755" t="s">
        <v>21</v>
      </c>
      <c r="C755">
        <v>1922828360</v>
      </c>
    </row>
    <row r="756" spans="1:3" x14ac:dyDescent="0.25">
      <c r="A756" t="s">
        <v>198</v>
      </c>
      <c r="B756" t="s">
        <v>25</v>
      </c>
      <c r="C756">
        <v>973803320</v>
      </c>
    </row>
    <row r="757" spans="1:3" x14ac:dyDescent="0.25">
      <c r="A757" t="s">
        <v>198</v>
      </c>
      <c r="B757" t="s">
        <v>102</v>
      </c>
      <c r="C757">
        <v>557541000</v>
      </c>
    </row>
    <row r="758" spans="1:3" x14ac:dyDescent="0.25">
      <c r="A758" t="s">
        <v>198</v>
      </c>
      <c r="B758" t="s">
        <v>62</v>
      </c>
      <c r="C758">
        <v>531768500</v>
      </c>
    </row>
    <row r="759" spans="1:3" x14ac:dyDescent="0.25">
      <c r="A759" t="s">
        <v>198</v>
      </c>
      <c r="B759" t="s">
        <v>93</v>
      </c>
      <c r="C759">
        <v>469047820</v>
      </c>
    </row>
    <row r="760" spans="1:3" x14ac:dyDescent="0.25">
      <c r="A760" t="s">
        <v>198</v>
      </c>
      <c r="B760" t="s">
        <v>139</v>
      </c>
      <c r="C760">
        <v>282411590</v>
      </c>
    </row>
    <row r="761" spans="1:3" x14ac:dyDescent="0.25">
      <c r="A761" t="s">
        <v>198</v>
      </c>
      <c r="B761" t="s">
        <v>95</v>
      </c>
      <c r="C761">
        <v>224896300</v>
      </c>
    </row>
    <row r="762" spans="1:3" x14ac:dyDescent="0.25">
      <c r="A762" t="s">
        <v>198</v>
      </c>
      <c r="B762" t="s">
        <v>90</v>
      </c>
      <c r="C762">
        <v>185194200</v>
      </c>
    </row>
    <row r="763" spans="1:3" x14ac:dyDescent="0.25">
      <c r="A763" t="s">
        <v>198</v>
      </c>
      <c r="B763" t="s">
        <v>55</v>
      </c>
      <c r="C763">
        <v>56414820</v>
      </c>
    </row>
    <row r="764" spans="1:3" x14ac:dyDescent="0.25">
      <c r="A764" t="s">
        <v>198</v>
      </c>
      <c r="B764" t="s">
        <v>51</v>
      </c>
      <c r="C764">
        <v>53340800</v>
      </c>
    </row>
    <row r="765" spans="1:3" x14ac:dyDescent="0.25">
      <c r="A765" t="s">
        <v>198</v>
      </c>
      <c r="B765" t="s">
        <v>69</v>
      </c>
      <c r="C765">
        <v>36381000</v>
      </c>
    </row>
    <row r="766" spans="1:3" x14ac:dyDescent="0.25">
      <c r="A766" t="s">
        <v>198</v>
      </c>
      <c r="B766" t="s">
        <v>101</v>
      </c>
      <c r="C766">
        <v>15500000</v>
      </c>
    </row>
    <row r="767" spans="1:3" x14ac:dyDescent="0.25">
      <c r="A767" t="s">
        <v>198</v>
      </c>
      <c r="B767" t="s">
        <v>103</v>
      </c>
      <c r="C767">
        <v>14867400</v>
      </c>
    </row>
    <row r="768" spans="1:3" x14ac:dyDescent="0.25">
      <c r="A768" t="s">
        <v>198</v>
      </c>
      <c r="B768" t="s">
        <v>132</v>
      </c>
      <c r="C768">
        <v>13000000</v>
      </c>
    </row>
    <row r="769" spans="1:3" x14ac:dyDescent="0.25">
      <c r="A769" t="s">
        <v>198</v>
      </c>
      <c r="B769" t="s">
        <v>58</v>
      </c>
      <c r="C769">
        <v>7923200</v>
      </c>
    </row>
    <row r="770" spans="1:3" x14ac:dyDescent="0.25">
      <c r="A770" t="s">
        <v>198</v>
      </c>
      <c r="B770" t="s">
        <v>67</v>
      </c>
      <c r="C770">
        <v>5364300</v>
      </c>
    </row>
    <row r="771" spans="1:3" x14ac:dyDescent="0.25">
      <c r="A771" t="s">
        <v>198</v>
      </c>
      <c r="B771" t="s">
        <v>97</v>
      </c>
      <c r="C771">
        <v>4076400</v>
      </c>
    </row>
    <row r="772" spans="1:3" x14ac:dyDescent="0.25">
      <c r="A772" t="s">
        <v>198</v>
      </c>
      <c r="B772" t="s">
        <v>52</v>
      </c>
      <c r="C772">
        <v>2400000</v>
      </c>
    </row>
    <row r="773" spans="1:3" x14ac:dyDescent="0.25">
      <c r="A773" t="s">
        <v>198</v>
      </c>
      <c r="B773" t="s">
        <v>46</v>
      </c>
      <c r="C773">
        <v>1874220</v>
      </c>
    </row>
    <row r="774" spans="1:3" x14ac:dyDescent="0.25">
      <c r="A774" t="s">
        <v>199</v>
      </c>
      <c r="B774" t="s">
        <v>18</v>
      </c>
      <c r="C774">
        <v>42692049300</v>
      </c>
    </row>
    <row r="775" spans="1:3" x14ac:dyDescent="0.25">
      <c r="A775" t="s">
        <v>199</v>
      </c>
      <c r="B775" t="s">
        <v>82</v>
      </c>
      <c r="C775">
        <v>24166250800</v>
      </c>
    </row>
    <row r="776" spans="1:3" x14ac:dyDescent="0.25">
      <c r="A776" t="s">
        <v>199</v>
      </c>
      <c r="B776" t="s">
        <v>85</v>
      </c>
      <c r="C776">
        <v>11461664990</v>
      </c>
    </row>
    <row r="777" spans="1:3" x14ac:dyDescent="0.25">
      <c r="A777" t="s">
        <v>199</v>
      </c>
      <c r="B777" t="s">
        <v>41</v>
      </c>
      <c r="C777">
        <v>10683318480</v>
      </c>
    </row>
    <row r="778" spans="1:3" x14ac:dyDescent="0.25">
      <c r="A778" t="s">
        <v>199</v>
      </c>
      <c r="B778" t="s">
        <v>40</v>
      </c>
      <c r="C778">
        <v>7559993390</v>
      </c>
    </row>
    <row r="779" spans="1:3" x14ac:dyDescent="0.25">
      <c r="A779" t="s">
        <v>199</v>
      </c>
      <c r="B779" t="s">
        <v>47</v>
      </c>
      <c r="C779">
        <v>2400327630</v>
      </c>
    </row>
    <row r="780" spans="1:3" x14ac:dyDescent="0.25">
      <c r="A780" t="s">
        <v>199</v>
      </c>
      <c r="B780" t="s">
        <v>86</v>
      </c>
      <c r="C780">
        <v>1967987800</v>
      </c>
    </row>
    <row r="781" spans="1:3" x14ac:dyDescent="0.25">
      <c r="A781" t="s">
        <v>199</v>
      </c>
      <c r="B781" t="s">
        <v>21</v>
      </c>
      <c r="C781">
        <v>1722026580</v>
      </c>
    </row>
    <row r="782" spans="1:3" x14ac:dyDescent="0.25">
      <c r="A782" t="s">
        <v>199</v>
      </c>
      <c r="B782" t="s">
        <v>54</v>
      </c>
      <c r="C782">
        <v>1453436230</v>
      </c>
    </row>
    <row r="783" spans="1:3" x14ac:dyDescent="0.25">
      <c r="A783" t="s">
        <v>199</v>
      </c>
      <c r="B783" t="s">
        <v>25</v>
      </c>
      <c r="C783">
        <v>841341200</v>
      </c>
    </row>
    <row r="784" spans="1:3" x14ac:dyDescent="0.25">
      <c r="A784" t="s">
        <v>199</v>
      </c>
      <c r="B784" t="s">
        <v>89</v>
      </c>
      <c r="C784">
        <v>814788000</v>
      </c>
    </row>
    <row r="785" spans="1:3" x14ac:dyDescent="0.25">
      <c r="A785" t="s">
        <v>199</v>
      </c>
      <c r="B785" t="s">
        <v>93</v>
      </c>
      <c r="C785">
        <v>281371360</v>
      </c>
    </row>
    <row r="786" spans="1:3" x14ac:dyDescent="0.25">
      <c r="A786" t="s">
        <v>199</v>
      </c>
      <c r="B786" t="s">
        <v>102</v>
      </c>
      <c r="C786">
        <v>281180400</v>
      </c>
    </row>
    <row r="787" spans="1:3" x14ac:dyDescent="0.25">
      <c r="A787" t="s">
        <v>199</v>
      </c>
      <c r="B787" t="s">
        <v>90</v>
      </c>
      <c r="C787">
        <v>142369400</v>
      </c>
    </row>
    <row r="788" spans="1:3" x14ac:dyDescent="0.25">
      <c r="A788" t="s">
        <v>199</v>
      </c>
      <c r="B788" t="s">
        <v>95</v>
      </c>
      <c r="C788">
        <v>140424900</v>
      </c>
    </row>
    <row r="789" spans="1:3" x14ac:dyDescent="0.25">
      <c r="A789" t="s">
        <v>199</v>
      </c>
      <c r="B789" t="s">
        <v>69</v>
      </c>
      <c r="C789">
        <v>80785300</v>
      </c>
    </row>
    <row r="790" spans="1:3" x14ac:dyDescent="0.25">
      <c r="A790" t="s">
        <v>199</v>
      </c>
      <c r="B790" t="s">
        <v>62</v>
      </c>
      <c r="C790">
        <v>54077000</v>
      </c>
    </row>
    <row r="791" spans="1:3" x14ac:dyDescent="0.25">
      <c r="A791" t="s">
        <v>199</v>
      </c>
      <c r="B791" t="s">
        <v>51</v>
      </c>
      <c r="C791">
        <v>49309000</v>
      </c>
    </row>
    <row r="792" spans="1:3" x14ac:dyDescent="0.25">
      <c r="A792" t="s">
        <v>199</v>
      </c>
      <c r="B792" t="s">
        <v>67</v>
      </c>
      <c r="C792">
        <v>39642600</v>
      </c>
    </row>
    <row r="793" spans="1:3" x14ac:dyDescent="0.25">
      <c r="A793" t="s">
        <v>199</v>
      </c>
      <c r="B793" t="s">
        <v>132</v>
      </c>
      <c r="C793">
        <v>37878800</v>
      </c>
    </row>
    <row r="794" spans="1:3" x14ac:dyDescent="0.25">
      <c r="A794" t="s">
        <v>199</v>
      </c>
      <c r="B794" t="s">
        <v>139</v>
      </c>
      <c r="C794">
        <v>32494000</v>
      </c>
    </row>
    <row r="795" spans="1:3" x14ac:dyDescent="0.25">
      <c r="A795" t="s">
        <v>199</v>
      </c>
      <c r="B795" t="s">
        <v>22</v>
      </c>
      <c r="C795">
        <v>21745500</v>
      </c>
    </row>
    <row r="796" spans="1:3" x14ac:dyDescent="0.25">
      <c r="A796" t="s">
        <v>199</v>
      </c>
      <c r="B796" t="s">
        <v>97</v>
      </c>
      <c r="C796">
        <v>12480000</v>
      </c>
    </row>
    <row r="797" spans="1:3" x14ac:dyDescent="0.25">
      <c r="A797" t="s">
        <v>199</v>
      </c>
      <c r="B797" t="s">
        <v>48</v>
      </c>
      <c r="C797">
        <v>7418160</v>
      </c>
    </row>
    <row r="798" spans="1:3" x14ac:dyDescent="0.25">
      <c r="A798" t="s">
        <v>199</v>
      </c>
      <c r="B798" t="s">
        <v>46</v>
      </c>
      <c r="C798">
        <v>519450</v>
      </c>
    </row>
    <row r="799" spans="1:3" x14ac:dyDescent="0.25">
      <c r="A799" t="s">
        <v>200</v>
      </c>
      <c r="B799" t="s">
        <v>18</v>
      </c>
      <c r="C799">
        <v>35416573400</v>
      </c>
    </row>
    <row r="800" spans="1:3" x14ac:dyDescent="0.25">
      <c r="A800" t="s">
        <v>200</v>
      </c>
      <c r="B800" t="s">
        <v>82</v>
      </c>
      <c r="C800">
        <v>21877847950</v>
      </c>
    </row>
    <row r="801" spans="1:3" x14ac:dyDescent="0.25">
      <c r="A801" t="s">
        <v>200</v>
      </c>
      <c r="B801" t="s">
        <v>41</v>
      </c>
      <c r="C801">
        <v>8982548660</v>
      </c>
    </row>
    <row r="802" spans="1:3" x14ac:dyDescent="0.25">
      <c r="A802" t="s">
        <v>200</v>
      </c>
      <c r="B802" t="s">
        <v>85</v>
      </c>
      <c r="C802">
        <v>8399596200</v>
      </c>
    </row>
    <row r="803" spans="1:3" x14ac:dyDescent="0.25">
      <c r="A803" t="s">
        <v>200</v>
      </c>
      <c r="B803" t="s">
        <v>40</v>
      </c>
      <c r="C803">
        <v>6861024430</v>
      </c>
    </row>
    <row r="804" spans="1:3" x14ac:dyDescent="0.25">
      <c r="A804" t="s">
        <v>200</v>
      </c>
      <c r="B804" t="s">
        <v>54</v>
      </c>
      <c r="C804">
        <v>4422593520</v>
      </c>
    </row>
    <row r="805" spans="1:3" x14ac:dyDescent="0.25">
      <c r="A805" t="s">
        <v>200</v>
      </c>
      <c r="B805" t="s">
        <v>47</v>
      </c>
      <c r="C805">
        <v>1866751480</v>
      </c>
    </row>
    <row r="806" spans="1:3" x14ac:dyDescent="0.25">
      <c r="A806" t="s">
        <v>200</v>
      </c>
      <c r="B806" t="s">
        <v>21</v>
      </c>
      <c r="C806">
        <v>1513721870</v>
      </c>
    </row>
    <row r="807" spans="1:3" x14ac:dyDescent="0.25">
      <c r="A807" t="s">
        <v>200</v>
      </c>
      <c r="B807" t="s">
        <v>93</v>
      </c>
      <c r="C807">
        <v>1028654300</v>
      </c>
    </row>
    <row r="808" spans="1:3" x14ac:dyDescent="0.25">
      <c r="A808" t="s">
        <v>200</v>
      </c>
      <c r="B808" t="s">
        <v>25</v>
      </c>
      <c r="C808">
        <v>860550900</v>
      </c>
    </row>
    <row r="809" spans="1:3" x14ac:dyDescent="0.25">
      <c r="A809" t="s">
        <v>200</v>
      </c>
      <c r="B809" t="s">
        <v>95</v>
      </c>
      <c r="C809">
        <v>443445600</v>
      </c>
    </row>
    <row r="810" spans="1:3" x14ac:dyDescent="0.25">
      <c r="A810" t="s">
        <v>200</v>
      </c>
      <c r="B810" t="s">
        <v>102</v>
      </c>
      <c r="C810">
        <v>285187700</v>
      </c>
    </row>
    <row r="811" spans="1:3" x14ac:dyDescent="0.25">
      <c r="A811" t="s">
        <v>200</v>
      </c>
      <c r="B811" t="s">
        <v>69</v>
      </c>
      <c r="C811">
        <v>70000000</v>
      </c>
    </row>
    <row r="812" spans="1:3" x14ac:dyDescent="0.25">
      <c r="A812" t="s">
        <v>200</v>
      </c>
      <c r="B812" t="s">
        <v>62</v>
      </c>
      <c r="C812">
        <v>41435400</v>
      </c>
    </row>
    <row r="813" spans="1:3" x14ac:dyDescent="0.25">
      <c r="A813" t="s">
        <v>200</v>
      </c>
      <c r="B813" t="s">
        <v>139</v>
      </c>
      <c r="C813">
        <v>24343400</v>
      </c>
    </row>
    <row r="814" spans="1:3" x14ac:dyDescent="0.25">
      <c r="A814" t="s">
        <v>200</v>
      </c>
      <c r="B814" t="s">
        <v>132</v>
      </c>
      <c r="C814">
        <v>14500000</v>
      </c>
    </row>
    <row r="815" spans="1:3" x14ac:dyDescent="0.25">
      <c r="A815" t="s">
        <v>200</v>
      </c>
      <c r="B815" t="s">
        <v>97</v>
      </c>
      <c r="C815">
        <v>10343500</v>
      </c>
    </row>
    <row r="816" spans="1:3" x14ac:dyDescent="0.25">
      <c r="A816" t="s">
        <v>200</v>
      </c>
      <c r="B816" t="s">
        <v>67</v>
      </c>
      <c r="C816">
        <v>3243900</v>
      </c>
    </row>
    <row r="817" spans="1:3" x14ac:dyDescent="0.25">
      <c r="A817" t="s">
        <v>200</v>
      </c>
      <c r="B817" t="s">
        <v>48</v>
      </c>
      <c r="C817">
        <v>101110</v>
      </c>
    </row>
    <row r="818" spans="1:3" x14ac:dyDescent="0.25">
      <c r="A818" t="s">
        <v>201</v>
      </c>
      <c r="B818" t="s">
        <v>18</v>
      </c>
      <c r="C818">
        <v>42563487500</v>
      </c>
    </row>
    <row r="819" spans="1:3" x14ac:dyDescent="0.25">
      <c r="A819" t="s">
        <v>201</v>
      </c>
      <c r="B819" t="s">
        <v>82</v>
      </c>
      <c r="C819">
        <v>25280051000</v>
      </c>
    </row>
    <row r="820" spans="1:3" x14ac:dyDescent="0.25">
      <c r="A820" t="s">
        <v>201</v>
      </c>
      <c r="B820" t="s">
        <v>85</v>
      </c>
      <c r="C820">
        <v>13317814000</v>
      </c>
    </row>
    <row r="821" spans="1:3" x14ac:dyDescent="0.25">
      <c r="A821" t="s">
        <v>201</v>
      </c>
      <c r="B821" t="s">
        <v>41</v>
      </c>
      <c r="C821">
        <v>11793603340</v>
      </c>
    </row>
    <row r="822" spans="1:3" x14ac:dyDescent="0.25">
      <c r="A822" t="s">
        <v>201</v>
      </c>
      <c r="B822" t="s">
        <v>40</v>
      </c>
      <c r="C822">
        <v>8441290470</v>
      </c>
    </row>
    <row r="823" spans="1:3" x14ac:dyDescent="0.25">
      <c r="A823" t="s">
        <v>201</v>
      </c>
      <c r="B823" t="s">
        <v>47</v>
      </c>
      <c r="C823">
        <v>2449977440</v>
      </c>
    </row>
    <row r="824" spans="1:3" x14ac:dyDescent="0.25">
      <c r="A824" t="s">
        <v>201</v>
      </c>
      <c r="B824" t="s">
        <v>21</v>
      </c>
      <c r="C824">
        <v>2319549410</v>
      </c>
    </row>
    <row r="825" spans="1:3" x14ac:dyDescent="0.25">
      <c r="A825" t="s">
        <v>201</v>
      </c>
      <c r="B825" t="s">
        <v>89</v>
      </c>
      <c r="C825">
        <v>2114925900</v>
      </c>
    </row>
    <row r="826" spans="1:3" x14ac:dyDescent="0.25">
      <c r="A826" t="s">
        <v>201</v>
      </c>
      <c r="B826" t="s">
        <v>54</v>
      </c>
      <c r="C826">
        <v>2062065210</v>
      </c>
    </row>
    <row r="827" spans="1:3" x14ac:dyDescent="0.25">
      <c r="A827" t="s">
        <v>201</v>
      </c>
      <c r="B827" t="s">
        <v>93</v>
      </c>
      <c r="C827">
        <v>1354385200</v>
      </c>
    </row>
    <row r="828" spans="1:3" x14ac:dyDescent="0.25">
      <c r="A828" t="s">
        <v>201</v>
      </c>
      <c r="B828" t="s">
        <v>62</v>
      </c>
      <c r="C828">
        <v>1106561300</v>
      </c>
    </row>
    <row r="829" spans="1:3" x14ac:dyDescent="0.25">
      <c r="A829" t="s">
        <v>201</v>
      </c>
      <c r="B829" t="s">
        <v>25</v>
      </c>
      <c r="C829">
        <v>783536400</v>
      </c>
    </row>
    <row r="830" spans="1:3" x14ac:dyDescent="0.25">
      <c r="A830" t="s">
        <v>201</v>
      </c>
      <c r="B830" t="s">
        <v>102</v>
      </c>
      <c r="C830">
        <v>749207400</v>
      </c>
    </row>
    <row r="831" spans="1:3" x14ac:dyDescent="0.25">
      <c r="A831" t="s">
        <v>201</v>
      </c>
      <c r="B831" t="s">
        <v>90</v>
      </c>
      <c r="C831">
        <v>646488850</v>
      </c>
    </row>
    <row r="832" spans="1:3" x14ac:dyDescent="0.25">
      <c r="A832" t="s">
        <v>201</v>
      </c>
      <c r="B832" t="s">
        <v>86</v>
      </c>
      <c r="C832">
        <v>554211900</v>
      </c>
    </row>
    <row r="833" spans="1:3" x14ac:dyDescent="0.25">
      <c r="A833" t="s">
        <v>201</v>
      </c>
      <c r="B833" t="s">
        <v>95</v>
      </c>
      <c r="C833">
        <v>343289300</v>
      </c>
    </row>
    <row r="834" spans="1:3" x14ac:dyDescent="0.25">
      <c r="A834" t="s">
        <v>201</v>
      </c>
      <c r="B834" t="s">
        <v>48</v>
      </c>
      <c r="C834">
        <v>44785000</v>
      </c>
    </row>
    <row r="835" spans="1:3" x14ac:dyDescent="0.25">
      <c r="A835" t="s">
        <v>201</v>
      </c>
      <c r="B835" t="s">
        <v>139</v>
      </c>
      <c r="C835">
        <v>42901010</v>
      </c>
    </row>
    <row r="836" spans="1:3" x14ac:dyDescent="0.25">
      <c r="A836" t="s">
        <v>201</v>
      </c>
      <c r="B836" t="s">
        <v>69</v>
      </c>
      <c r="C836">
        <v>26000000</v>
      </c>
    </row>
    <row r="837" spans="1:3" x14ac:dyDescent="0.25">
      <c r="A837" t="s">
        <v>201</v>
      </c>
      <c r="B837" t="s">
        <v>97</v>
      </c>
      <c r="C837">
        <v>8641980</v>
      </c>
    </row>
    <row r="838" spans="1:3" x14ac:dyDescent="0.25">
      <c r="A838" t="s">
        <v>201</v>
      </c>
      <c r="B838" t="s">
        <v>46</v>
      </c>
      <c r="C838">
        <v>1628300</v>
      </c>
    </row>
    <row r="839" spans="1:3" x14ac:dyDescent="0.25">
      <c r="A839" t="s">
        <v>202</v>
      </c>
      <c r="B839" t="s">
        <v>18</v>
      </c>
      <c r="C839">
        <v>26550422490</v>
      </c>
    </row>
    <row r="840" spans="1:3" x14ac:dyDescent="0.25">
      <c r="A840" t="s">
        <v>202</v>
      </c>
      <c r="B840" t="s">
        <v>82</v>
      </c>
      <c r="C840">
        <v>14909466350</v>
      </c>
    </row>
    <row r="841" spans="1:3" x14ac:dyDescent="0.25">
      <c r="A841" t="s">
        <v>202</v>
      </c>
      <c r="B841" t="s">
        <v>85</v>
      </c>
      <c r="C841">
        <v>8475988500</v>
      </c>
    </row>
    <row r="842" spans="1:3" x14ac:dyDescent="0.25">
      <c r="A842" t="s">
        <v>202</v>
      </c>
      <c r="B842" t="s">
        <v>40</v>
      </c>
      <c r="C842">
        <v>6867520190</v>
      </c>
    </row>
    <row r="843" spans="1:3" x14ac:dyDescent="0.25">
      <c r="A843" t="s">
        <v>202</v>
      </c>
      <c r="B843" t="s">
        <v>41</v>
      </c>
      <c r="C843">
        <v>5860204700</v>
      </c>
    </row>
    <row r="844" spans="1:3" x14ac:dyDescent="0.25">
      <c r="A844" t="s">
        <v>202</v>
      </c>
      <c r="B844" t="s">
        <v>54</v>
      </c>
      <c r="C844">
        <v>2261119020</v>
      </c>
    </row>
    <row r="845" spans="1:3" x14ac:dyDescent="0.25">
      <c r="A845" t="s">
        <v>202</v>
      </c>
      <c r="B845" t="s">
        <v>21</v>
      </c>
      <c r="C845">
        <v>1602588720</v>
      </c>
    </row>
    <row r="846" spans="1:3" x14ac:dyDescent="0.25">
      <c r="A846" t="s">
        <v>202</v>
      </c>
      <c r="B846" t="s">
        <v>47</v>
      </c>
      <c r="C846">
        <v>1583207020</v>
      </c>
    </row>
    <row r="847" spans="1:3" x14ac:dyDescent="0.25">
      <c r="A847" t="s">
        <v>202</v>
      </c>
      <c r="B847" t="s">
        <v>93</v>
      </c>
      <c r="C847">
        <v>845061900</v>
      </c>
    </row>
    <row r="848" spans="1:3" x14ac:dyDescent="0.25">
      <c r="A848" t="s">
        <v>202</v>
      </c>
      <c r="B848" t="s">
        <v>62</v>
      </c>
      <c r="C848">
        <v>702198700</v>
      </c>
    </row>
    <row r="849" spans="1:3" x14ac:dyDescent="0.25">
      <c r="A849" t="s">
        <v>202</v>
      </c>
      <c r="B849" t="s">
        <v>25</v>
      </c>
      <c r="C849">
        <v>627451300</v>
      </c>
    </row>
    <row r="850" spans="1:3" x14ac:dyDescent="0.25">
      <c r="A850" t="s">
        <v>202</v>
      </c>
      <c r="B850" t="s">
        <v>69</v>
      </c>
      <c r="C850">
        <v>212800640</v>
      </c>
    </row>
    <row r="851" spans="1:3" x14ac:dyDescent="0.25">
      <c r="A851" t="s">
        <v>202</v>
      </c>
      <c r="B851" t="s">
        <v>90</v>
      </c>
      <c r="C851">
        <v>168751220</v>
      </c>
    </row>
    <row r="852" spans="1:3" x14ac:dyDescent="0.25">
      <c r="A852" t="s">
        <v>202</v>
      </c>
      <c r="B852" t="s">
        <v>86</v>
      </c>
      <c r="C852">
        <v>54878100</v>
      </c>
    </row>
    <row r="853" spans="1:3" x14ac:dyDescent="0.25">
      <c r="A853" t="s">
        <v>202</v>
      </c>
      <c r="B853" t="s">
        <v>102</v>
      </c>
      <c r="C853">
        <v>48488300</v>
      </c>
    </row>
    <row r="854" spans="1:3" x14ac:dyDescent="0.25">
      <c r="A854" t="s">
        <v>202</v>
      </c>
      <c r="B854" t="s">
        <v>89</v>
      </c>
      <c r="C854">
        <v>40000000</v>
      </c>
    </row>
    <row r="855" spans="1:3" x14ac:dyDescent="0.25">
      <c r="A855" t="s">
        <v>202</v>
      </c>
      <c r="B855" t="s">
        <v>139</v>
      </c>
      <c r="C855">
        <v>24292400</v>
      </c>
    </row>
    <row r="856" spans="1:3" x14ac:dyDescent="0.25">
      <c r="A856" t="s">
        <v>202</v>
      </c>
      <c r="B856" t="s">
        <v>97</v>
      </c>
      <c r="C856">
        <v>4695000</v>
      </c>
    </row>
    <row r="857" spans="1:3" x14ac:dyDescent="0.25">
      <c r="A857" t="s">
        <v>202</v>
      </c>
      <c r="B857" t="s">
        <v>46</v>
      </c>
      <c r="C857">
        <v>3803780</v>
      </c>
    </row>
    <row r="858" spans="1:3" x14ac:dyDescent="0.25">
      <c r="A858" t="s">
        <v>203</v>
      </c>
      <c r="B858" t="s">
        <v>18</v>
      </c>
      <c r="C858">
        <v>10380835300</v>
      </c>
    </row>
    <row r="859" spans="1:3" x14ac:dyDescent="0.25">
      <c r="A859" t="s">
        <v>203</v>
      </c>
      <c r="B859" t="s">
        <v>82</v>
      </c>
      <c r="C859">
        <v>5984149900</v>
      </c>
    </row>
    <row r="860" spans="1:3" x14ac:dyDescent="0.25">
      <c r="A860" t="s">
        <v>203</v>
      </c>
      <c r="B860" t="s">
        <v>40</v>
      </c>
      <c r="C860">
        <v>5114655990</v>
      </c>
    </row>
    <row r="861" spans="1:3" x14ac:dyDescent="0.25">
      <c r="A861" t="s">
        <v>203</v>
      </c>
      <c r="B861" t="s">
        <v>41</v>
      </c>
      <c r="C861">
        <v>4526229760</v>
      </c>
    </row>
    <row r="862" spans="1:3" x14ac:dyDescent="0.25">
      <c r="A862" t="s">
        <v>203</v>
      </c>
      <c r="B862" t="s">
        <v>85</v>
      </c>
      <c r="C862">
        <v>4142392320</v>
      </c>
    </row>
    <row r="863" spans="1:3" x14ac:dyDescent="0.25">
      <c r="A863" t="s">
        <v>203</v>
      </c>
      <c r="B863" t="s">
        <v>21</v>
      </c>
      <c r="C863">
        <v>2649766720</v>
      </c>
    </row>
    <row r="864" spans="1:3" x14ac:dyDescent="0.25">
      <c r="A864" t="s">
        <v>203</v>
      </c>
      <c r="B864" t="s">
        <v>54</v>
      </c>
      <c r="C864">
        <v>2639180750</v>
      </c>
    </row>
    <row r="865" spans="1:3" x14ac:dyDescent="0.25">
      <c r="A865" t="s">
        <v>203</v>
      </c>
      <c r="B865" t="s">
        <v>69</v>
      </c>
      <c r="C865">
        <v>758840840</v>
      </c>
    </row>
    <row r="866" spans="1:3" x14ac:dyDescent="0.25">
      <c r="A866" t="s">
        <v>203</v>
      </c>
      <c r="B866" t="s">
        <v>47</v>
      </c>
      <c r="C866">
        <v>687464010</v>
      </c>
    </row>
    <row r="867" spans="1:3" x14ac:dyDescent="0.25">
      <c r="A867" t="s">
        <v>203</v>
      </c>
      <c r="B867" t="s">
        <v>93</v>
      </c>
      <c r="C867">
        <v>602326480</v>
      </c>
    </row>
    <row r="868" spans="1:3" x14ac:dyDescent="0.25">
      <c r="A868" t="s">
        <v>203</v>
      </c>
      <c r="B868" t="s">
        <v>67</v>
      </c>
      <c r="C868">
        <v>506475380</v>
      </c>
    </row>
    <row r="869" spans="1:3" x14ac:dyDescent="0.25">
      <c r="A869" t="s">
        <v>203</v>
      </c>
      <c r="B869" t="s">
        <v>25</v>
      </c>
      <c r="C869">
        <v>289101780</v>
      </c>
    </row>
    <row r="870" spans="1:3" x14ac:dyDescent="0.25">
      <c r="A870" t="s">
        <v>203</v>
      </c>
      <c r="B870" t="s">
        <v>101</v>
      </c>
      <c r="C870">
        <v>177880000</v>
      </c>
    </row>
    <row r="871" spans="1:3" x14ac:dyDescent="0.25">
      <c r="A871" t="s">
        <v>203</v>
      </c>
      <c r="B871" t="s">
        <v>90</v>
      </c>
      <c r="C871">
        <v>137613900</v>
      </c>
    </row>
    <row r="872" spans="1:3" x14ac:dyDescent="0.25">
      <c r="A872" t="s">
        <v>203</v>
      </c>
      <c r="B872" t="s">
        <v>132</v>
      </c>
      <c r="C872">
        <v>135126900</v>
      </c>
    </row>
    <row r="873" spans="1:3" x14ac:dyDescent="0.25">
      <c r="A873" t="s">
        <v>203</v>
      </c>
      <c r="B873" t="s">
        <v>102</v>
      </c>
      <c r="C873">
        <v>128983200</v>
      </c>
    </row>
    <row r="874" spans="1:3" x14ac:dyDescent="0.25">
      <c r="A874" t="s">
        <v>203</v>
      </c>
      <c r="B874" t="s">
        <v>58</v>
      </c>
      <c r="C874">
        <v>96713800</v>
      </c>
    </row>
    <row r="875" spans="1:3" x14ac:dyDescent="0.25">
      <c r="A875" t="s">
        <v>203</v>
      </c>
      <c r="B875" t="s">
        <v>62</v>
      </c>
      <c r="C875">
        <v>69035800</v>
      </c>
    </row>
    <row r="876" spans="1:3" x14ac:dyDescent="0.25">
      <c r="A876" t="s">
        <v>203</v>
      </c>
      <c r="B876" t="s">
        <v>89</v>
      </c>
      <c r="C876">
        <v>64119000</v>
      </c>
    </row>
    <row r="877" spans="1:3" x14ac:dyDescent="0.25">
      <c r="A877" t="s">
        <v>203</v>
      </c>
      <c r="B877" t="s">
        <v>48</v>
      </c>
      <c r="C877">
        <v>58563100</v>
      </c>
    </row>
    <row r="878" spans="1:3" x14ac:dyDescent="0.25">
      <c r="A878" t="s">
        <v>203</v>
      </c>
      <c r="B878" t="s">
        <v>51</v>
      </c>
      <c r="C878">
        <v>32601500</v>
      </c>
    </row>
    <row r="879" spans="1:3" x14ac:dyDescent="0.25">
      <c r="A879" t="s">
        <v>203</v>
      </c>
      <c r="B879" t="s">
        <v>139</v>
      </c>
      <c r="C879">
        <v>31741500</v>
      </c>
    </row>
    <row r="880" spans="1:3" x14ac:dyDescent="0.25">
      <c r="A880" t="s">
        <v>203</v>
      </c>
      <c r="B880" t="s">
        <v>46</v>
      </c>
      <c r="C880">
        <v>2260140</v>
      </c>
    </row>
    <row r="881" spans="1:3" x14ac:dyDescent="0.25">
      <c r="A881" t="s">
        <v>204</v>
      </c>
      <c r="B881" t="s">
        <v>18</v>
      </c>
      <c r="C881">
        <v>22477141900</v>
      </c>
    </row>
    <row r="882" spans="1:3" x14ac:dyDescent="0.25">
      <c r="A882" t="s">
        <v>204</v>
      </c>
      <c r="B882" t="s">
        <v>82</v>
      </c>
      <c r="C882">
        <v>12112052900</v>
      </c>
    </row>
    <row r="883" spans="1:3" x14ac:dyDescent="0.25">
      <c r="A883" t="s">
        <v>204</v>
      </c>
      <c r="B883" t="s">
        <v>85</v>
      </c>
      <c r="C883">
        <v>7021008100</v>
      </c>
    </row>
    <row r="884" spans="1:3" x14ac:dyDescent="0.25">
      <c r="A884" t="s">
        <v>204</v>
      </c>
      <c r="B884" t="s">
        <v>41</v>
      </c>
      <c r="C884">
        <v>6723859850</v>
      </c>
    </row>
    <row r="885" spans="1:3" x14ac:dyDescent="0.25">
      <c r="A885" t="s">
        <v>204</v>
      </c>
      <c r="B885" t="s">
        <v>40</v>
      </c>
      <c r="C885">
        <v>5843390560</v>
      </c>
    </row>
    <row r="886" spans="1:3" x14ac:dyDescent="0.25">
      <c r="A886" t="s">
        <v>204</v>
      </c>
      <c r="B886" t="s">
        <v>25</v>
      </c>
      <c r="C886">
        <v>2351781520</v>
      </c>
    </row>
    <row r="887" spans="1:3" x14ac:dyDescent="0.25">
      <c r="A887" t="s">
        <v>204</v>
      </c>
      <c r="B887" t="s">
        <v>47</v>
      </c>
      <c r="C887">
        <v>1335689730</v>
      </c>
    </row>
    <row r="888" spans="1:3" x14ac:dyDescent="0.25">
      <c r="A888" t="s">
        <v>204</v>
      </c>
      <c r="B888" t="s">
        <v>54</v>
      </c>
      <c r="C888">
        <v>1247967360</v>
      </c>
    </row>
    <row r="889" spans="1:3" x14ac:dyDescent="0.25">
      <c r="A889" t="s">
        <v>204</v>
      </c>
      <c r="B889" t="s">
        <v>21</v>
      </c>
      <c r="C889">
        <v>1206723020</v>
      </c>
    </row>
    <row r="890" spans="1:3" x14ac:dyDescent="0.25">
      <c r="A890" t="s">
        <v>204</v>
      </c>
      <c r="B890" t="s">
        <v>93</v>
      </c>
      <c r="C890">
        <v>401468900</v>
      </c>
    </row>
    <row r="891" spans="1:3" x14ac:dyDescent="0.25">
      <c r="A891" t="s">
        <v>204</v>
      </c>
      <c r="B891" t="s">
        <v>95</v>
      </c>
      <c r="C891">
        <v>218345100</v>
      </c>
    </row>
    <row r="892" spans="1:3" x14ac:dyDescent="0.25">
      <c r="A892" t="s">
        <v>204</v>
      </c>
      <c r="B892" t="s">
        <v>102</v>
      </c>
      <c r="C892">
        <v>110238500</v>
      </c>
    </row>
    <row r="893" spans="1:3" x14ac:dyDescent="0.25">
      <c r="A893" t="s">
        <v>204</v>
      </c>
      <c r="B893" t="s">
        <v>69</v>
      </c>
      <c r="C893">
        <v>66906810</v>
      </c>
    </row>
    <row r="894" spans="1:3" x14ac:dyDescent="0.25">
      <c r="A894" t="s">
        <v>204</v>
      </c>
      <c r="B894" t="s">
        <v>62</v>
      </c>
      <c r="C894">
        <v>54877200</v>
      </c>
    </row>
    <row r="895" spans="1:3" x14ac:dyDescent="0.25">
      <c r="A895" t="s">
        <v>204</v>
      </c>
      <c r="B895" t="s">
        <v>89</v>
      </c>
      <c r="C895">
        <v>50000000</v>
      </c>
    </row>
    <row r="896" spans="1:3" x14ac:dyDescent="0.25">
      <c r="A896" t="s">
        <v>204</v>
      </c>
      <c r="B896" t="s">
        <v>103</v>
      </c>
      <c r="C896">
        <v>49205400</v>
      </c>
    </row>
    <row r="897" spans="1:3" x14ac:dyDescent="0.25">
      <c r="A897" t="s">
        <v>204</v>
      </c>
      <c r="B897" t="s">
        <v>51</v>
      </c>
      <c r="C897">
        <v>40193600</v>
      </c>
    </row>
    <row r="898" spans="1:3" x14ac:dyDescent="0.25">
      <c r="A898" t="s">
        <v>204</v>
      </c>
      <c r="B898" t="s">
        <v>67</v>
      </c>
      <c r="C898">
        <v>26141200</v>
      </c>
    </row>
    <row r="899" spans="1:3" x14ac:dyDescent="0.25">
      <c r="A899" t="s">
        <v>204</v>
      </c>
      <c r="B899" t="s">
        <v>101</v>
      </c>
      <c r="C899">
        <v>17000000</v>
      </c>
    </row>
    <row r="900" spans="1:3" x14ac:dyDescent="0.25">
      <c r="A900" t="s">
        <v>204</v>
      </c>
      <c r="B900" t="s">
        <v>48</v>
      </c>
      <c r="C900">
        <v>7605000</v>
      </c>
    </row>
    <row r="901" spans="1:3" x14ac:dyDescent="0.25">
      <c r="A901" t="s">
        <v>204</v>
      </c>
      <c r="B901" t="s">
        <v>46</v>
      </c>
      <c r="C901">
        <v>4276040</v>
      </c>
    </row>
    <row r="902" spans="1:3" x14ac:dyDescent="0.25">
      <c r="A902" t="s">
        <v>204</v>
      </c>
      <c r="B902" t="s">
        <v>97</v>
      </c>
      <c r="C902">
        <v>2880000</v>
      </c>
    </row>
    <row r="903" spans="1:3" x14ac:dyDescent="0.25">
      <c r="A903" t="s">
        <v>204</v>
      </c>
      <c r="B903" t="s">
        <v>139</v>
      </c>
      <c r="C903">
        <v>1880000</v>
      </c>
    </row>
    <row r="904" spans="1:3" x14ac:dyDescent="0.25">
      <c r="A904" t="s">
        <v>205</v>
      </c>
      <c r="B904" t="s">
        <v>41</v>
      </c>
      <c r="C904">
        <v>5778489130</v>
      </c>
    </row>
    <row r="905" spans="1:3" x14ac:dyDescent="0.25">
      <c r="A905" t="s">
        <v>205</v>
      </c>
      <c r="B905" t="s">
        <v>46</v>
      </c>
      <c r="C905">
        <v>2392027710</v>
      </c>
    </row>
    <row r="906" spans="1:3" x14ac:dyDescent="0.25">
      <c r="A906" t="s">
        <v>205</v>
      </c>
      <c r="B906" t="s">
        <v>71</v>
      </c>
      <c r="C906">
        <v>27883720</v>
      </c>
    </row>
    <row r="907" spans="1:3" x14ac:dyDescent="0.25">
      <c r="A907" t="s">
        <v>206</v>
      </c>
      <c r="B907" t="s">
        <v>97</v>
      </c>
      <c r="C907">
        <v>63160155620</v>
      </c>
    </row>
    <row r="908" spans="1:3" x14ac:dyDescent="0.25">
      <c r="A908" t="s">
        <v>206</v>
      </c>
      <c r="B908" t="s">
        <v>47</v>
      </c>
      <c r="C908">
        <v>23891592950</v>
      </c>
    </row>
    <row r="909" spans="1:3" x14ac:dyDescent="0.25">
      <c r="A909" t="s">
        <v>206</v>
      </c>
      <c r="B909" t="s">
        <v>55</v>
      </c>
      <c r="C909">
        <v>100020420</v>
      </c>
    </row>
    <row r="910" spans="1:3" x14ac:dyDescent="0.25">
      <c r="A910" t="s">
        <v>206</v>
      </c>
      <c r="B910" t="s">
        <v>48</v>
      </c>
      <c r="C910">
        <v>1832800</v>
      </c>
    </row>
    <row r="911" spans="1:3" x14ac:dyDescent="0.25">
      <c r="A911" t="s">
        <v>207</v>
      </c>
      <c r="B911" t="s">
        <v>47</v>
      </c>
      <c r="C911">
        <v>1864972170</v>
      </c>
    </row>
    <row r="912" spans="1:3" x14ac:dyDescent="0.25">
      <c r="A912" t="s">
        <v>208</v>
      </c>
      <c r="B912" t="s">
        <v>47</v>
      </c>
      <c r="C912">
        <v>542736020</v>
      </c>
    </row>
    <row r="913" spans="1:3" x14ac:dyDescent="0.25">
      <c r="A913" t="s">
        <v>209</v>
      </c>
      <c r="B913" t="s">
        <v>47</v>
      </c>
      <c r="C913">
        <v>83233500</v>
      </c>
    </row>
    <row r="914" spans="1:3" x14ac:dyDescent="0.25">
      <c r="A914" t="s">
        <v>16</v>
      </c>
      <c r="B914" t="s">
        <v>27</v>
      </c>
      <c r="C914">
        <v>1824284795161.7</v>
      </c>
    </row>
    <row r="915" spans="1:3" x14ac:dyDescent="0.25">
      <c r="A915" t="s">
        <v>16</v>
      </c>
      <c r="B915" t="s">
        <v>40</v>
      </c>
      <c r="C915">
        <v>328908316041.20001</v>
      </c>
    </row>
    <row r="916" spans="1:3" x14ac:dyDescent="0.25">
      <c r="A916" t="s">
        <v>16</v>
      </c>
      <c r="B916" t="s">
        <v>21</v>
      </c>
      <c r="C916">
        <v>233720639758.10001</v>
      </c>
    </row>
    <row r="917" spans="1:3" x14ac:dyDescent="0.25">
      <c r="A917" t="s">
        <v>16</v>
      </c>
      <c r="B917" t="s">
        <v>102</v>
      </c>
      <c r="C917">
        <v>218811127324.20001</v>
      </c>
    </row>
    <row r="918" spans="1:3" x14ac:dyDescent="0.25">
      <c r="A918" t="s">
        <v>16</v>
      </c>
      <c r="B918" t="s">
        <v>87</v>
      </c>
      <c r="C918">
        <v>126297291220.39999</v>
      </c>
    </row>
    <row r="919" spans="1:3" x14ac:dyDescent="0.25">
      <c r="A919" t="s">
        <v>16</v>
      </c>
      <c r="B919" t="s">
        <v>18</v>
      </c>
      <c r="C919">
        <v>105076010619.60001</v>
      </c>
    </row>
    <row r="920" spans="1:3" x14ac:dyDescent="0.25">
      <c r="A920" t="s">
        <v>16</v>
      </c>
      <c r="B920" t="s">
        <v>93</v>
      </c>
      <c r="C920">
        <v>96486918957.399994</v>
      </c>
    </row>
    <row r="921" spans="1:3" x14ac:dyDescent="0.25">
      <c r="A921" t="s">
        <v>16</v>
      </c>
      <c r="B921" t="s">
        <v>82</v>
      </c>
      <c r="C921">
        <v>84026677931.600006</v>
      </c>
    </row>
    <row r="922" spans="1:3" x14ac:dyDescent="0.25">
      <c r="A922" t="s">
        <v>16</v>
      </c>
      <c r="B922" t="s">
        <v>81</v>
      </c>
      <c r="C922">
        <v>66679122790.599998</v>
      </c>
    </row>
    <row r="923" spans="1:3" x14ac:dyDescent="0.25">
      <c r="A923" t="s">
        <v>16</v>
      </c>
      <c r="B923" t="s">
        <v>210</v>
      </c>
      <c r="C923">
        <v>65047218621</v>
      </c>
    </row>
    <row r="924" spans="1:3" x14ac:dyDescent="0.25">
      <c r="A924" t="s">
        <v>16</v>
      </c>
      <c r="B924" t="s">
        <v>83</v>
      </c>
      <c r="C924">
        <v>56922165909.099998</v>
      </c>
    </row>
    <row r="925" spans="1:3" x14ac:dyDescent="0.25">
      <c r="A925" t="s">
        <v>16</v>
      </c>
      <c r="B925" t="s">
        <v>99</v>
      </c>
      <c r="C925">
        <v>52038327159.300003</v>
      </c>
    </row>
    <row r="926" spans="1:3" x14ac:dyDescent="0.25">
      <c r="A926" t="s">
        <v>16</v>
      </c>
      <c r="B926" t="s">
        <v>69</v>
      </c>
      <c r="C926">
        <v>44958617178.5</v>
      </c>
    </row>
    <row r="927" spans="1:3" x14ac:dyDescent="0.25">
      <c r="A927" t="s">
        <v>16</v>
      </c>
      <c r="B927" t="s">
        <v>101</v>
      </c>
      <c r="C927">
        <v>38638434388.5</v>
      </c>
    </row>
    <row r="928" spans="1:3" x14ac:dyDescent="0.25">
      <c r="A928" t="s">
        <v>16</v>
      </c>
      <c r="B928" t="s">
        <v>139</v>
      </c>
      <c r="C928">
        <v>31709071650.400002</v>
      </c>
    </row>
    <row r="929" spans="1:3" x14ac:dyDescent="0.25">
      <c r="A929" t="s">
        <v>16</v>
      </c>
      <c r="B929" t="s">
        <v>53</v>
      </c>
      <c r="C929">
        <v>28676993225.799999</v>
      </c>
    </row>
    <row r="930" spans="1:3" x14ac:dyDescent="0.25">
      <c r="A930" t="s">
        <v>16</v>
      </c>
      <c r="B930" t="s">
        <v>70</v>
      </c>
      <c r="C930">
        <v>25111254927.5</v>
      </c>
    </row>
    <row r="931" spans="1:3" x14ac:dyDescent="0.25">
      <c r="A931" t="s">
        <v>16</v>
      </c>
      <c r="B931" t="s">
        <v>96</v>
      </c>
      <c r="C931">
        <v>23366848009</v>
      </c>
    </row>
    <row r="932" spans="1:3" x14ac:dyDescent="0.25">
      <c r="A932" t="s">
        <v>16</v>
      </c>
      <c r="B932" t="s">
        <v>64</v>
      </c>
      <c r="C932">
        <v>23177172380</v>
      </c>
    </row>
    <row r="933" spans="1:3" x14ac:dyDescent="0.25">
      <c r="A933" t="s">
        <v>16</v>
      </c>
      <c r="B933" t="s">
        <v>89</v>
      </c>
      <c r="C933">
        <v>18585841735.799999</v>
      </c>
    </row>
    <row r="934" spans="1:3" x14ac:dyDescent="0.25">
      <c r="A934" t="s">
        <v>16</v>
      </c>
      <c r="B934" t="s">
        <v>54</v>
      </c>
      <c r="C934">
        <v>15167975083.799999</v>
      </c>
    </row>
    <row r="935" spans="1:3" x14ac:dyDescent="0.25">
      <c r="A935" t="s">
        <v>16</v>
      </c>
      <c r="B935" t="s">
        <v>115</v>
      </c>
      <c r="C935">
        <v>13716245293.4</v>
      </c>
    </row>
    <row r="936" spans="1:3" x14ac:dyDescent="0.25">
      <c r="A936" t="s">
        <v>16</v>
      </c>
      <c r="B936" t="s">
        <v>51</v>
      </c>
      <c r="C936">
        <v>11391821021.799999</v>
      </c>
    </row>
    <row r="937" spans="1:3" x14ac:dyDescent="0.25">
      <c r="A937" t="s">
        <v>16</v>
      </c>
      <c r="B937" t="s">
        <v>47</v>
      </c>
      <c r="C937">
        <v>9699521224.7000008</v>
      </c>
    </row>
    <row r="938" spans="1:3" x14ac:dyDescent="0.25">
      <c r="A938" t="s">
        <v>16</v>
      </c>
      <c r="B938" t="s">
        <v>85</v>
      </c>
      <c r="C938">
        <v>8039084192.1999998</v>
      </c>
    </row>
    <row r="939" spans="1:3" x14ac:dyDescent="0.25">
      <c r="A939" t="s">
        <v>16</v>
      </c>
      <c r="B939" t="s">
        <v>62</v>
      </c>
      <c r="C939">
        <v>6390851092.3999996</v>
      </c>
    </row>
    <row r="940" spans="1:3" x14ac:dyDescent="0.25">
      <c r="A940" t="s">
        <v>16</v>
      </c>
      <c r="B940" t="s">
        <v>52</v>
      </c>
      <c r="C940">
        <v>6266096287</v>
      </c>
    </row>
    <row r="941" spans="1:3" x14ac:dyDescent="0.25">
      <c r="A941" t="s">
        <v>16</v>
      </c>
      <c r="B941" t="s">
        <v>55</v>
      </c>
      <c r="C941">
        <v>5673946470.8000002</v>
      </c>
    </row>
    <row r="942" spans="1:3" x14ac:dyDescent="0.25">
      <c r="A942" t="s">
        <v>16</v>
      </c>
      <c r="B942" t="s">
        <v>90</v>
      </c>
      <c r="C942">
        <v>5610010470.6999998</v>
      </c>
    </row>
    <row r="943" spans="1:3" x14ac:dyDescent="0.25">
      <c r="A943" t="s">
        <v>16</v>
      </c>
      <c r="B943" t="s">
        <v>132</v>
      </c>
      <c r="C943">
        <v>5225494057.3000002</v>
      </c>
    </row>
    <row r="944" spans="1:3" x14ac:dyDescent="0.25">
      <c r="A944" t="s">
        <v>16</v>
      </c>
      <c r="B944" t="s">
        <v>94</v>
      </c>
      <c r="C944">
        <v>4906972739</v>
      </c>
    </row>
    <row r="945" spans="1:3" x14ac:dyDescent="0.25">
      <c r="A945" t="s">
        <v>16</v>
      </c>
      <c r="B945" t="s">
        <v>91</v>
      </c>
      <c r="C945">
        <v>4387590919.6000004</v>
      </c>
    </row>
    <row r="946" spans="1:3" x14ac:dyDescent="0.25">
      <c r="A946" t="s">
        <v>16</v>
      </c>
      <c r="B946" t="s">
        <v>186</v>
      </c>
      <c r="C946">
        <v>4298531038.1000004</v>
      </c>
    </row>
    <row r="947" spans="1:3" x14ac:dyDescent="0.25">
      <c r="A947" t="s">
        <v>16</v>
      </c>
      <c r="B947" t="s">
        <v>211</v>
      </c>
      <c r="C947">
        <v>4063353190.9000001</v>
      </c>
    </row>
    <row r="948" spans="1:3" x14ac:dyDescent="0.25">
      <c r="A948" t="s">
        <v>16</v>
      </c>
      <c r="B948" t="s">
        <v>137</v>
      </c>
      <c r="C948">
        <v>3212380620</v>
      </c>
    </row>
    <row r="949" spans="1:3" x14ac:dyDescent="0.25">
      <c r="A949" t="s">
        <v>16</v>
      </c>
      <c r="B949" t="s">
        <v>141</v>
      </c>
      <c r="C949">
        <v>3153905657.4000001</v>
      </c>
    </row>
    <row r="950" spans="1:3" x14ac:dyDescent="0.25">
      <c r="A950" t="s">
        <v>16</v>
      </c>
      <c r="B950" t="s">
        <v>67</v>
      </c>
      <c r="C950">
        <v>2641430560.5</v>
      </c>
    </row>
    <row r="951" spans="1:3" x14ac:dyDescent="0.25">
      <c r="A951" t="s">
        <v>16</v>
      </c>
      <c r="B951" t="s">
        <v>125</v>
      </c>
      <c r="C951">
        <v>1909256267.3</v>
      </c>
    </row>
    <row r="952" spans="1:3" x14ac:dyDescent="0.25">
      <c r="A952" t="s">
        <v>16</v>
      </c>
      <c r="B952" t="s">
        <v>103</v>
      </c>
      <c r="C952">
        <v>1884840163.9000001</v>
      </c>
    </row>
    <row r="953" spans="1:3" x14ac:dyDescent="0.25">
      <c r="A953" t="s">
        <v>16</v>
      </c>
      <c r="B953" t="s">
        <v>136</v>
      </c>
      <c r="C953">
        <v>1733825961.4000001</v>
      </c>
    </row>
    <row r="954" spans="1:3" x14ac:dyDescent="0.25">
      <c r="A954" t="s">
        <v>16</v>
      </c>
      <c r="B954" t="s">
        <v>212</v>
      </c>
      <c r="C954">
        <v>1261353278.4000001</v>
      </c>
    </row>
    <row r="955" spans="1:3" x14ac:dyDescent="0.25">
      <c r="A955" t="s">
        <v>16</v>
      </c>
      <c r="B955" t="s">
        <v>22</v>
      </c>
      <c r="C955">
        <v>1201121483</v>
      </c>
    </row>
    <row r="956" spans="1:3" x14ac:dyDescent="0.25">
      <c r="A956" t="s">
        <v>16</v>
      </c>
      <c r="B956" t="s">
        <v>128</v>
      </c>
      <c r="C956">
        <v>1090061774.0999999</v>
      </c>
    </row>
    <row r="957" spans="1:3" x14ac:dyDescent="0.25">
      <c r="A957" t="s">
        <v>16</v>
      </c>
      <c r="B957" t="s">
        <v>100</v>
      </c>
      <c r="C957">
        <v>1013174430.1</v>
      </c>
    </row>
    <row r="958" spans="1:3" x14ac:dyDescent="0.25">
      <c r="A958" t="s">
        <v>16</v>
      </c>
      <c r="B958" t="s">
        <v>104</v>
      </c>
      <c r="C958">
        <v>846601129.89999998</v>
      </c>
    </row>
    <row r="959" spans="1:3" x14ac:dyDescent="0.25">
      <c r="A959" t="s">
        <v>16</v>
      </c>
      <c r="B959" t="s">
        <v>88</v>
      </c>
      <c r="C959">
        <v>703499813.39999998</v>
      </c>
    </row>
    <row r="960" spans="1:3" x14ac:dyDescent="0.25">
      <c r="A960" t="s">
        <v>16</v>
      </c>
      <c r="B960" t="s">
        <v>95</v>
      </c>
      <c r="C960">
        <v>619974624</v>
      </c>
    </row>
    <row r="961" spans="1:3" x14ac:dyDescent="0.25">
      <c r="A961" t="s">
        <v>16</v>
      </c>
      <c r="B961" t="s">
        <v>71</v>
      </c>
      <c r="C961">
        <v>585526909</v>
      </c>
    </row>
    <row r="962" spans="1:3" x14ac:dyDescent="0.25">
      <c r="A962" t="s">
        <v>16</v>
      </c>
      <c r="B962" t="s">
        <v>43</v>
      </c>
      <c r="C962">
        <v>555806541.10000002</v>
      </c>
    </row>
    <row r="963" spans="1:3" x14ac:dyDescent="0.25">
      <c r="A963" t="s">
        <v>16</v>
      </c>
      <c r="B963" t="s">
        <v>58</v>
      </c>
      <c r="C963">
        <v>504241932.80000001</v>
      </c>
    </row>
    <row r="964" spans="1:3" x14ac:dyDescent="0.25">
      <c r="A964" t="s">
        <v>16</v>
      </c>
      <c r="B964" t="s">
        <v>124</v>
      </c>
      <c r="C964">
        <v>408357796.10000002</v>
      </c>
    </row>
    <row r="965" spans="1:3" x14ac:dyDescent="0.25">
      <c r="A965" t="s">
        <v>16</v>
      </c>
      <c r="B965" t="s">
        <v>97</v>
      </c>
      <c r="C965">
        <v>377921217.5</v>
      </c>
    </row>
    <row r="966" spans="1:3" x14ac:dyDescent="0.25">
      <c r="A966" t="s">
        <v>16</v>
      </c>
      <c r="B966" t="s">
        <v>213</v>
      </c>
      <c r="C966">
        <v>353853339.5</v>
      </c>
    </row>
    <row r="967" spans="1:3" x14ac:dyDescent="0.25">
      <c r="A967" t="s">
        <v>16</v>
      </c>
      <c r="B967" t="s">
        <v>194</v>
      </c>
      <c r="C967">
        <v>346593065.39999998</v>
      </c>
    </row>
    <row r="968" spans="1:3" x14ac:dyDescent="0.25">
      <c r="A968" t="s">
        <v>16</v>
      </c>
      <c r="B968" t="s">
        <v>60</v>
      </c>
      <c r="C968">
        <v>341777775</v>
      </c>
    </row>
    <row r="969" spans="1:3" x14ac:dyDescent="0.25">
      <c r="A969" t="s">
        <v>16</v>
      </c>
      <c r="B969" t="s">
        <v>135</v>
      </c>
      <c r="C969">
        <v>270697495.89999998</v>
      </c>
    </row>
    <row r="970" spans="1:3" x14ac:dyDescent="0.25">
      <c r="A970" t="s">
        <v>16</v>
      </c>
      <c r="B970" t="s">
        <v>120</v>
      </c>
      <c r="C970">
        <v>258726297</v>
      </c>
    </row>
    <row r="971" spans="1:3" x14ac:dyDescent="0.25">
      <c r="A971" t="s">
        <v>16</v>
      </c>
      <c r="B971" t="s">
        <v>111</v>
      </c>
      <c r="C971">
        <v>256045106.19999999</v>
      </c>
    </row>
    <row r="972" spans="1:3" x14ac:dyDescent="0.25">
      <c r="A972" t="s">
        <v>16</v>
      </c>
      <c r="B972" t="s">
        <v>143</v>
      </c>
      <c r="C972">
        <v>254432750.09999999</v>
      </c>
    </row>
    <row r="973" spans="1:3" x14ac:dyDescent="0.25">
      <c r="A973" t="s">
        <v>16</v>
      </c>
      <c r="B973" t="s">
        <v>106</v>
      </c>
      <c r="C973">
        <v>211770390.59999999</v>
      </c>
    </row>
    <row r="974" spans="1:3" x14ac:dyDescent="0.25">
      <c r="A974" t="s">
        <v>16</v>
      </c>
      <c r="B974" t="s">
        <v>86</v>
      </c>
      <c r="C974">
        <v>203905542</v>
      </c>
    </row>
    <row r="975" spans="1:3" x14ac:dyDescent="0.25">
      <c r="A975" t="s">
        <v>16</v>
      </c>
      <c r="B975" t="s">
        <v>133</v>
      </c>
      <c r="C975">
        <v>151025999</v>
      </c>
    </row>
    <row r="976" spans="1:3" x14ac:dyDescent="0.25">
      <c r="A976" t="s">
        <v>16</v>
      </c>
      <c r="B976" t="s">
        <v>65</v>
      </c>
      <c r="C976">
        <v>126630891</v>
      </c>
    </row>
    <row r="977" spans="1:3" x14ac:dyDescent="0.25">
      <c r="A977" t="s">
        <v>16</v>
      </c>
      <c r="B977" t="s">
        <v>105</v>
      </c>
      <c r="C977">
        <v>102378784</v>
      </c>
    </row>
    <row r="978" spans="1:3" x14ac:dyDescent="0.25">
      <c r="A978" t="s">
        <v>16</v>
      </c>
      <c r="B978" t="s">
        <v>145</v>
      </c>
      <c r="C978">
        <v>93567309.299999997</v>
      </c>
    </row>
    <row r="979" spans="1:3" x14ac:dyDescent="0.25">
      <c r="A979" t="s">
        <v>16</v>
      </c>
      <c r="B979" t="s">
        <v>66</v>
      </c>
      <c r="C979">
        <v>86742380.799999997</v>
      </c>
    </row>
    <row r="980" spans="1:3" x14ac:dyDescent="0.25">
      <c r="A980" t="s">
        <v>16</v>
      </c>
      <c r="B980" t="s">
        <v>42</v>
      </c>
      <c r="C980">
        <v>73315195.099999994</v>
      </c>
    </row>
    <row r="981" spans="1:3" x14ac:dyDescent="0.25">
      <c r="A981" t="s">
        <v>16</v>
      </c>
      <c r="B981" t="s">
        <v>134</v>
      </c>
      <c r="C981">
        <v>72817869.5</v>
      </c>
    </row>
    <row r="982" spans="1:3" x14ac:dyDescent="0.25">
      <c r="A982" t="s">
        <v>16</v>
      </c>
      <c r="B982" t="s">
        <v>114</v>
      </c>
      <c r="C982">
        <v>65483365</v>
      </c>
    </row>
    <row r="983" spans="1:3" x14ac:dyDescent="0.25">
      <c r="A983" t="s">
        <v>16</v>
      </c>
      <c r="B983" t="s">
        <v>84</v>
      </c>
      <c r="C983">
        <v>60621676.799999997</v>
      </c>
    </row>
    <row r="984" spans="1:3" x14ac:dyDescent="0.25">
      <c r="A984" t="s">
        <v>16</v>
      </c>
      <c r="B984" t="s">
        <v>46</v>
      </c>
      <c r="C984">
        <v>46182042.299999997</v>
      </c>
    </row>
    <row r="985" spans="1:3" x14ac:dyDescent="0.25">
      <c r="A985" t="s">
        <v>16</v>
      </c>
      <c r="B985" t="s">
        <v>130</v>
      </c>
      <c r="C985">
        <v>40892957.100000001</v>
      </c>
    </row>
    <row r="986" spans="1:3" x14ac:dyDescent="0.25">
      <c r="A986" t="s">
        <v>16</v>
      </c>
      <c r="B986" t="s">
        <v>214</v>
      </c>
      <c r="C986">
        <v>40580530</v>
      </c>
    </row>
    <row r="987" spans="1:3" x14ac:dyDescent="0.25">
      <c r="A987" t="s">
        <v>16</v>
      </c>
      <c r="B987" t="s">
        <v>24</v>
      </c>
      <c r="C987">
        <v>37035028.100000001</v>
      </c>
    </row>
    <row r="988" spans="1:3" x14ac:dyDescent="0.25">
      <c r="A988" t="s">
        <v>16</v>
      </c>
      <c r="B988" t="s">
        <v>45</v>
      </c>
      <c r="C988">
        <v>34350954</v>
      </c>
    </row>
    <row r="989" spans="1:3" x14ac:dyDescent="0.25">
      <c r="A989" t="s">
        <v>16</v>
      </c>
      <c r="B989" t="s">
        <v>113</v>
      </c>
      <c r="C989">
        <v>27700700</v>
      </c>
    </row>
    <row r="990" spans="1:3" x14ac:dyDescent="0.25">
      <c r="A990" t="s">
        <v>16</v>
      </c>
      <c r="B990" t="s">
        <v>26</v>
      </c>
      <c r="C990">
        <v>21898323.600000001</v>
      </c>
    </row>
    <row r="991" spans="1:3" x14ac:dyDescent="0.25">
      <c r="A991" t="s">
        <v>16</v>
      </c>
      <c r="B991" t="s">
        <v>127</v>
      </c>
      <c r="C991">
        <v>20826791</v>
      </c>
    </row>
    <row r="992" spans="1:3" x14ac:dyDescent="0.25">
      <c r="A992" t="s">
        <v>16</v>
      </c>
      <c r="B992" t="s">
        <v>149</v>
      </c>
      <c r="C992">
        <v>17705848</v>
      </c>
    </row>
    <row r="993" spans="1:3" x14ac:dyDescent="0.25">
      <c r="A993" t="s">
        <v>16</v>
      </c>
      <c r="B993" t="s">
        <v>146</v>
      </c>
      <c r="C993">
        <v>16905080</v>
      </c>
    </row>
    <row r="994" spans="1:3" x14ac:dyDescent="0.25">
      <c r="A994" t="s">
        <v>16</v>
      </c>
      <c r="B994" t="s">
        <v>110</v>
      </c>
      <c r="C994">
        <v>16120000</v>
      </c>
    </row>
    <row r="995" spans="1:3" x14ac:dyDescent="0.25">
      <c r="A995" t="s">
        <v>16</v>
      </c>
      <c r="B995" t="s">
        <v>215</v>
      </c>
      <c r="C995">
        <v>15397170</v>
      </c>
    </row>
    <row r="996" spans="1:3" x14ac:dyDescent="0.25">
      <c r="A996" t="s">
        <v>16</v>
      </c>
      <c r="B996" t="s">
        <v>25</v>
      </c>
      <c r="C996">
        <v>12205000</v>
      </c>
    </row>
    <row r="997" spans="1:3" x14ac:dyDescent="0.25">
      <c r="A997" t="s">
        <v>16</v>
      </c>
      <c r="B997" t="s">
        <v>79</v>
      </c>
      <c r="C997">
        <v>9098390</v>
      </c>
    </row>
    <row r="998" spans="1:3" x14ac:dyDescent="0.25">
      <c r="A998" t="s">
        <v>16</v>
      </c>
      <c r="B998" t="s">
        <v>23</v>
      </c>
      <c r="C998">
        <v>8828893</v>
      </c>
    </row>
    <row r="999" spans="1:3" x14ac:dyDescent="0.25">
      <c r="A999" t="s">
        <v>16</v>
      </c>
      <c r="B999" t="s">
        <v>19</v>
      </c>
      <c r="C999">
        <v>8579867</v>
      </c>
    </row>
    <row r="1000" spans="1:3" x14ac:dyDescent="0.25">
      <c r="A1000" t="s">
        <v>16</v>
      </c>
      <c r="B1000" t="s">
        <v>216</v>
      </c>
      <c r="C1000">
        <v>7791350</v>
      </c>
    </row>
    <row r="1001" spans="1:3" x14ac:dyDescent="0.25">
      <c r="A1001" t="s">
        <v>16</v>
      </c>
      <c r="B1001" t="s">
        <v>217</v>
      </c>
      <c r="C1001">
        <v>4550000</v>
      </c>
    </row>
    <row r="1002" spans="1:3" x14ac:dyDescent="0.25">
      <c r="A1002" t="s">
        <v>16</v>
      </c>
      <c r="B1002" t="s">
        <v>218</v>
      </c>
      <c r="C1002">
        <v>3200000</v>
      </c>
    </row>
    <row r="1003" spans="1:3" x14ac:dyDescent="0.25">
      <c r="A1003" t="s">
        <v>16</v>
      </c>
      <c r="B1003" t="s">
        <v>73</v>
      </c>
      <c r="C1003">
        <v>2861000</v>
      </c>
    </row>
    <row r="1004" spans="1:3" x14ac:dyDescent="0.25">
      <c r="A1004" t="s">
        <v>16</v>
      </c>
      <c r="B1004" t="s">
        <v>63</v>
      </c>
      <c r="C1004">
        <v>2189500</v>
      </c>
    </row>
    <row r="1005" spans="1:3" x14ac:dyDescent="0.25">
      <c r="A1005" t="s">
        <v>16</v>
      </c>
      <c r="B1005" t="s">
        <v>147</v>
      </c>
      <c r="C1005">
        <v>2089949</v>
      </c>
    </row>
    <row r="1006" spans="1:3" x14ac:dyDescent="0.25">
      <c r="A1006" t="s">
        <v>16</v>
      </c>
      <c r="B1006" t="s">
        <v>20</v>
      </c>
      <c r="C1006">
        <v>2089600</v>
      </c>
    </row>
    <row r="1007" spans="1:3" x14ac:dyDescent="0.25">
      <c r="A1007" t="s">
        <v>16</v>
      </c>
      <c r="B1007" t="s">
        <v>68</v>
      </c>
      <c r="C1007">
        <v>1785190</v>
      </c>
    </row>
    <row r="1008" spans="1:3" x14ac:dyDescent="0.25">
      <c r="A1008" t="s">
        <v>16</v>
      </c>
      <c r="B1008" t="s">
        <v>38</v>
      </c>
      <c r="C1008">
        <v>990000</v>
      </c>
    </row>
    <row r="1009" spans="1:3" x14ac:dyDescent="0.25">
      <c r="A1009" t="s">
        <v>16</v>
      </c>
      <c r="B1009" t="s">
        <v>219</v>
      </c>
      <c r="C1009">
        <v>880000</v>
      </c>
    </row>
    <row r="1010" spans="1:3" x14ac:dyDescent="0.25">
      <c r="A1010" t="s">
        <v>16</v>
      </c>
      <c r="B1010" t="s">
        <v>138</v>
      </c>
      <c r="C1010">
        <v>850000</v>
      </c>
    </row>
    <row r="1011" spans="1:3" x14ac:dyDescent="0.25">
      <c r="A1011" t="s">
        <v>16</v>
      </c>
      <c r="B1011" t="s">
        <v>107</v>
      </c>
      <c r="C1011">
        <v>700000</v>
      </c>
    </row>
    <row r="1012" spans="1:3" x14ac:dyDescent="0.25">
      <c r="A1012" t="s">
        <v>16</v>
      </c>
      <c r="B1012" t="s">
        <v>179</v>
      </c>
      <c r="C1012">
        <v>645284</v>
      </c>
    </row>
    <row r="1013" spans="1:3" x14ac:dyDescent="0.25">
      <c r="A1013" t="s">
        <v>16</v>
      </c>
      <c r="B1013" t="s">
        <v>44</v>
      </c>
      <c r="C1013">
        <v>420000</v>
      </c>
    </row>
    <row r="1014" spans="1:3" x14ac:dyDescent="0.25">
      <c r="A1014" t="s">
        <v>16</v>
      </c>
      <c r="B1014" t="s">
        <v>116</v>
      </c>
      <c r="C1014">
        <v>50000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B6A6-A26B-46C1-8E19-D630AF5CA54A}">
  <dimension ref="A3:B14"/>
  <sheetViews>
    <sheetView topLeftCell="A3" workbookViewId="0">
      <selection activeCell="B10" sqref="B10"/>
    </sheetView>
  </sheetViews>
  <sheetFormatPr defaultRowHeight="15" x14ac:dyDescent="0.25"/>
  <cols>
    <col min="1" max="1" width="66.28515625" bestFit="1" customWidth="1"/>
    <col min="2" max="2" width="35.42578125" bestFit="1" customWidth="1"/>
  </cols>
  <sheetData>
    <row r="3" spans="1:2" x14ac:dyDescent="0.25">
      <c r="A3" s="1" t="s">
        <v>31</v>
      </c>
      <c r="B3" t="s">
        <v>34</v>
      </c>
    </row>
    <row r="4" spans="1:2" x14ac:dyDescent="0.25">
      <c r="A4" s="2" t="s">
        <v>24</v>
      </c>
      <c r="B4">
        <v>24.534889530222962</v>
      </c>
    </row>
    <row r="5" spans="1:2" x14ac:dyDescent="0.25">
      <c r="A5" s="2" t="s">
        <v>26</v>
      </c>
      <c r="B5">
        <v>13.727981228163527</v>
      </c>
    </row>
    <row r="6" spans="1:2" x14ac:dyDescent="0.25">
      <c r="A6" s="2" t="s">
        <v>23</v>
      </c>
      <c r="B6">
        <v>11.994883512115726</v>
      </c>
    </row>
    <row r="7" spans="1:2" x14ac:dyDescent="0.25">
      <c r="A7" s="2" t="s">
        <v>21</v>
      </c>
      <c r="B7">
        <v>7.970168286926131</v>
      </c>
    </row>
    <row r="8" spans="1:2" x14ac:dyDescent="0.25">
      <c r="A8" s="2" t="s">
        <v>27</v>
      </c>
      <c r="B8">
        <v>5.9460648283049018</v>
      </c>
    </row>
    <row r="9" spans="1:2" x14ac:dyDescent="0.25">
      <c r="A9" s="2" t="s">
        <v>25</v>
      </c>
      <c r="B9">
        <v>4.4786227496223789</v>
      </c>
    </row>
    <row r="10" spans="1:2" x14ac:dyDescent="0.25">
      <c r="A10" s="2" t="s">
        <v>20</v>
      </c>
      <c r="B10">
        <v>4.2445468582760402</v>
      </c>
    </row>
    <row r="11" spans="1:2" x14ac:dyDescent="0.25">
      <c r="A11" s="2" t="s">
        <v>22</v>
      </c>
      <c r="B11">
        <v>3.9123558761019495</v>
      </c>
    </row>
    <row r="12" spans="1:2" x14ac:dyDescent="0.25">
      <c r="A12" s="2" t="s">
        <v>19</v>
      </c>
      <c r="B12">
        <v>2.980502230897744</v>
      </c>
    </row>
    <row r="13" spans="1:2" x14ac:dyDescent="0.25">
      <c r="A13" s="2" t="s">
        <v>18</v>
      </c>
      <c r="B13">
        <v>0.30940615752426792</v>
      </c>
    </row>
    <row r="14" spans="1:2" x14ac:dyDescent="0.25">
      <c r="A14" s="2" t="s">
        <v>32</v>
      </c>
      <c r="B14">
        <v>80.099421258155616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C578-A48A-443D-B77B-5767B6A9D1F8}">
  <dimension ref="A1:F164"/>
  <sheetViews>
    <sheetView topLeftCell="A2" workbookViewId="0">
      <selection activeCell="C4" sqref="C4"/>
    </sheetView>
  </sheetViews>
  <sheetFormatPr defaultRowHeight="15" x14ac:dyDescent="0.25"/>
  <cols>
    <col min="2" max="2" width="14" customWidth="1"/>
    <col min="3" max="3" width="64.85546875" customWidth="1"/>
    <col min="4" max="4" width="18" customWidth="1"/>
    <col min="5" max="5" width="20.140625" customWidth="1"/>
    <col min="6" max="6" width="30" customWidth="1"/>
  </cols>
  <sheetData>
    <row r="1" spans="1:6" x14ac:dyDescent="0.25">
      <c r="A1" t="s">
        <v>0</v>
      </c>
      <c r="B1" t="s">
        <v>28</v>
      </c>
      <c r="C1" t="s">
        <v>17</v>
      </c>
      <c r="D1" t="s">
        <v>1</v>
      </c>
      <c r="E1" t="s">
        <v>29</v>
      </c>
      <c r="F1" t="s">
        <v>30</v>
      </c>
    </row>
    <row r="2" spans="1:6" x14ac:dyDescent="0.25">
      <c r="A2">
        <v>2006</v>
      </c>
      <c r="B2">
        <v>7</v>
      </c>
      <c r="C2" t="s">
        <v>19</v>
      </c>
      <c r="D2">
        <v>13566725970</v>
      </c>
      <c r="E2">
        <v>0</v>
      </c>
      <c r="F2">
        <v>0</v>
      </c>
    </row>
    <row r="3" spans="1:6" x14ac:dyDescent="0.25">
      <c r="A3">
        <v>2007</v>
      </c>
      <c r="B3">
        <v>6</v>
      </c>
      <c r="C3" t="s">
        <v>19</v>
      </c>
      <c r="D3">
        <v>18528667440</v>
      </c>
      <c r="E3">
        <v>4961941470</v>
      </c>
      <c r="F3">
        <v>0.71574345719088095</v>
      </c>
    </row>
    <row r="4" spans="1:6" x14ac:dyDescent="0.25">
      <c r="A4">
        <v>2008</v>
      </c>
      <c r="B4">
        <v>3</v>
      </c>
      <c r="C4" t="s">
        <v>19</v>
      </c>
      <c r="D4">
        <v>36987901000</v>
      </c>
      <c r="E4">
        <v>18459233560</v>
      </c>
      <c r="F4">
        <v>2.0595859256100701</v>
      </c>
    </row>
    <row r="5" spans="1:6" x14ac:dyDescent="0.25">
      <c r="A5">
        <v>2009</v>
      </c>
      <c r="B5">
        <v>7</v>
      </c>
      <c r="C5" t="s">
        <v>19</v>
      </c>
      <c r="D5">
        <v>33011926480</v>
      </c>
      <c r="E5">
        <v>-3975974520</v>
      </c>
      <c r="F5">
        <v>-0.42308461507144302</v>
      </c>
    </row>
    <row r="6" spans="1:6" x14ac:dyDescent="0.25">
      <c r="A6">
        <v>2010</v>
      </c>
      <c r="B6">
        <v>6</v>
      </c>
      <c r="C6" t="s">
        <v>19</v>
      </c>
      <c r="D6">
        <v>42448862460</v>
      </c>
      <c r="E6">
        <v>9436935980</v>
      </c>
      <c r="F6">
        <v>0.81787465289841499</v>
      </c>
    </row>
    <row r="7" spans="1:6" x14ac:dyDescent="0.25">
      <c r="A7">
        <v>2011</v>
      </c>
      <c r="B7">
        <v>4</v>
      </c>
      <c r="C7" t="s">
        <v>19</v>
      </c>
      <c r="D7">
        <v>45221827690</v>
      </c>
      <c r="E7">
        <v>2772965230</v>
      </c>
      <c r="F7">
        <v>0.23056693118382299</v>
      </c>
    </row>
    <row r="8" spans="1:6" x14ac:dyDescent="0.25">
      <c r="A8">
        <v>2012</v>
      </c>
      <c r="B8">
        <v>6</v>
      </c>
      <c r="C8" t="s">
        <v>19</v>
      </c>
      <c r="D8">
        <v>41846107970</v>
      </c>
      <c r="E8">
        <v>-3375719720</v>
      </c>
      <c r="F8">
        <v>-0.27488597340138499</v>
      </c>
    </row>
    <row r="9" spans="1:6" x14ac:dyDescent="0.25">
      <c r="A9">
        <v>2013</v>
      </c>
      <c r="B9">
        <v>4</v>
      </c>
      <c r="C9" t="s">
        <v>19</v>
      </c>
      <c r="D9">
        <v>55270862150</v>
      </c>
      <c r="E9">
        <v>13424754180</v>
      </c>
      <c r="F9">
        <v>0.97725006804865699</v>
      </c>
    </row>
    <row r="10" spans="1:6" x14ac:dyDescent="0.25">
      <c r="A10">
        <v>2014</v>
      </c>
      <c r="B10">
        <v>6</v>
      </c>
      <c r="C10" t="s">
        <v>19</v>
      </c>
      <c r="D10">
        <v>59792022810</v>
      </c>
      <c r="E10">
        <v>4521160660</v>
      </c>
      <c r="F10">
        <v>0.302040156252536</v>
      </c>
    </row>
    <row r="11" spans="1:6" x14ac:dyDescent="0.25">
      <c r="A11">
        <v>2015</v>
      </c>
      <c r="B11">
        <v>4</v>
      </c>
      <c r="C11" t="s">
        <v>19</v>
      </c>
      <c r="D11">
        <v>94430003470</v>
      </c>
      <c r="E11">
        <v>34637980660</v>
      </c>
      <c r="F11">
        <v>2.0574175384067002</v>
      </c>
    </row>
    <row r="12" spans="1:6" x14ac:dyDescent="0.25">
      <c r="A12">
        <v>2016</v>
      </c>
      <c r="B12">
        <v>5</v>
      </c>
      <c r="C12" t="s">
        <v>19</v>
      </c>
      <c r="D12">
        <v>76705272550</v>
      </c>
      <c r="E12">
        <v>-17724730920</v>
      </c>
      <c r="F12">
        <v>-1.0255429729388601</v>
      </c>
    </row>
    <row r="13" spans="1:6" x14ac:dyDescent="0.25">
      <c r="A13">
        <v>2017</v>
      </c>
      <c r="B13">
        <v>10</v>
      </c>
      <c r="C13" t="s">
        <v>19</v>
      </c>
      <c r="D13">
        <v>39357633431</v>
      </c>
      <c r="E13">
        <v>-37347639119</v>
      </c>
      <c r="F13">
        <v>-2.11310186477718</v>
      </c>
    </row>
    <row r="14" spans="1:6" x14ac:dyDescent="0.25">
      <c r="A14">
        <v>2018</v>
      </c>
      <c r="B14">
        <v>10</v>
      </c>
      <c r="C14" t="s">
        <v>19</v>
      </c>
      <c r="D14">
        <v>26919355916</v>
      </c>
      <c r="E14">
        <v>-12438277515</v>
      </c>
      <c r="F14">
        <v>-0.73023509706716105</v>
      </c>
    </row>
    <row r="15" spans="1:6" x14ac:dyDescent="0.25">
      <c r="A15">
        <v>2019</v>
      </c>
      <c r="B15">
        <v>10</v>
      </c>
      <c r="C15" t="s">
        <v>19</v>
      </c>
      <c r="D15">
        <v>23624950580</v>
      </c>
      <c r="E15">
        <v>-3294405336</v>
      </c>
      <c r="F15">
        <v>-0.17134347703844699</v>
      </c>
    </row>
    <row r="16" spans="1:6" x14ac:dyDescent="0.25">
      <c r="A16">
        <v>2020</v>
      </c>
      <c r="B16">
        <v>10</v>
      </c>
      <c r="C16" t="s">
        <v>19</v>
      </c>
      <c r="D16">
        <v>31258535830</v>
      </c>
      <c r="E16">
        <v>7633585250</v>
      </c>
      <c r="F16">
        <v>0.34433687810540098</v>
      </c>
    </row>
    <row r="17" spans="1:6" x14ac:dyDescent="0.25">
      <c r="A17">
        <v>2021</v>
      </c>
      <c r="B17">
        <v>10</v>
      </c>
      <c r="C17" t="s">
        <v>19</v>
      </c>
      <c r="D17">
        <v>31169933840</v>
      </c>
      <c r="E17">
        <v>-88601990</v>
      </c>
      <c r="F17">
        <v>-3.6722831223413698E-3</v>
      </c>
    </row>
    <row r="18" spans="1:6" x14ac:dyDescent="0.25">
      <c r="A18">
        <v>2022</v>
      </c>
      <c r="B18">
        <v>10</v>
      </c>
      <c r="C18" t="s">
        <v>19</v>
      </c>
      <c r="D18">
        <v>36967894790</v>
      </c>
      <c r="E18">
        <v>5797960950</v>
      </c>
      <c r="F18">
        <v>0.217552906618078</v>
      </c>
    </row>
    <row r="19" spans="1:6" x14ac:dyDescent="0.25">
      <c r="A19">
        <v>2006</v>
      </c>
      <c r="B19">
        <v>8</v>
      </c>
      <c r="C19" t="s">
        <v>23</v>
      </c>
      <c r="D19">
        <v>9024646500</v>
      </c>
      <c r="E19">
        <v>0</v>
      </c>
      <c r="F19">
        <v>0</v>
      </c>
    </row>
    <row r="20" spans="1:6" x14ac:dyDescent="0.25">
      <c r="A20">
        <v>2007</v>
      </c>
      <c r="B20">
        <v>8</v>
      </c>
      <c r="C20" t="s">
        <v>23</v>
      </c>
      <c r="D20">
        <v>9956767570</v>
      </c>
      <c r="E20">
        <v>932121070</v>
      </c>
      <c r="F20">
        <v>0.13445534599630499</v>
      </c>
    </row>
    <row r="21" spans="1:6" x14ac:dyDescent="0.25">
      <c r="A21">
        <v>2008</v>
      </c>
      <c r="B21">
        <v>8</v>
      </c>
      <c r="C21" t="s">
        <v>23</v>
      </c>
      <c r="D21">
        <v>10395793470</v>
      </c>
      <c r="E21">
        <v>439025900</v>
      </c>
      <c r="F21">
        <v>4.8984242042294998E-2</v>
      </c>
    </row>
    <row r="22" spans="1:6" x14ac:dyDescent="0.25">
      <c r="A22">
        <v>2009</v>
      </c>
      <c r="B22">
        <v>9</v>
      </c>
      <c r="C22" t="s">
        <v>23</v>
      </c>
      <c r="D22">
        <v>16281591800</v>
      </c>
      <c r="E22">
        <v>5885798330</v>
      </c>
      <c r="F22">
        <v>0.62630952696250997</v>
      </c>
    </row>
    <row r="23" spans="1:6" x14ac:dyDescent="0.25">
      <c r="A23">
        <v>2010</v>
      </c>
      <c r="B23">
        <v>10</v>
      </c>
      <c r="C23" t="s">
        <v>23</v>
      </c>
      <c r="D23">
        <v>30436021340</v>
      </c>
      <c r="E23">
        <v>14154429540</v>
      </c>
      <c r="F23">
        <v>1.22672752803846</v>
      </c>
    </row>
    <row r="24" spans="1:6" x14ac:dyDescent="0.25">
      <c r="A24">
        <v>2011</v>
      </c>
      <c r="B24">
        <v>9</v>
      </c>
      <c r="C24" t="s">
        <v>23</v>
      </c>
      <c r="D24">
        <v>35537797835</v>
      </c>
      <c r="E24">
        <v>5101776495</v>
      </c>
      <c r="F24">
        <v>0.42420328149513398</v>
      </c>
    </row>
    <row r="25" spans="1:6" x14ac:dyDescent="0.25">
      <c r="A25">
        <v>2012</v>
      </c>
      <c r="B25">
        <v>7</v>
      </c>
      <c r="C25" t="s">
        <v>23</v>
      </c>
      <c r="D25">
        <v>40667846020</v>
      </c>
      <c r="E25">
        <v>5130048185</v>
      </c>
      <c r="F25">
        <v>0.41774152059334302</v>
      </c>
    </row>
    <row r="26" spans="1:6" x14ac:dyDescent="0.25">
      <c r="A26">
        <v>2013</v>
      </c>
      <c r="B26">
        <v>8</v>
      </c>
      <c r="C26" t="s">
        <v>23</v>
      </c>
      <c r="D26">
        <v>46748062898</v>
      </c>
      <c r="E26">
        <v>6080216878</v>
      </c>
      <c r="F26">
        <v>0.44260716271648598</v>
      </c>
    </row>
    <row r="27" spans="1:6" x14ac:dyDescent="0.25">
      <c r="A27">
        <v>2014</v>
      </c>
      <c r="B27">
        <v>5</v>
      </c>
      <c r="C27" t="s">
        <v>23</v>
      </c>
      <c r="D27">
        <v>61645207250</v>
      </c>
      <c r="E27">
        <v>14897144352</v>
      </c>
      <c r="F27">
        <v>0.99521696886450794</v>
      </c>
    </row>
    <row r="28" spans="1:6" x14ac:dyDescent="0.25">
      <c r="A28">
        <v>2015</v>
      </c>
      <c r="B28">
        <v>5</v>
      </c>
      <c r="C28" t="s">
        <v>23</v>
      </c>
      <c r="D28">
        <v>74084107100</v>
      </c>
      <c r="E28">
        <v>12438899850</v>
      </c>
      <c r="F28">
        <v>0.73884245623556699</v>
      </c>
    </row>
    <row r="29" spans="1:6" x14ac:dyDescent="0.25">
      <c r="A29">
        <v>2016</v>
      </c>
      <c r="B29">
        <v>4</v>
      </c>
      <c r="C29" t="s">
        <v>23</v>
      </c>
      <c r="D29">
        <v>98276372290</v>
      </c>
      <c r="E29">
        <v>24192265190</v>
      </c>
      <c r="F29">
        <v>1.39975087221678</v>
      </c>
    </row>
    <row r="30" spans="1:6" x14ac:dyDescent="0.25">
      <c r="A30">
        <v>2017</v>
      </c>
      <c r="B30">
        <v>4</v>
      </c>
      <c r="C30" t="s">
        <v>23</v>
      </c>
      <c r="D30">
        <v>119760301310</v>
      </c>
      <c r="E30">
        <v>21483929020</v>
      </c>
      <c r="F30">
        <v>1.2155448522529799</v>
      </c>
    </row>
    <row r="31" spans="1:6" x14ac:dyDescent="0.25">
      <c r="A31">
        <v>2018</v>
      </c>
      <c r="B31">
        <v>3</v>
      </c>
      <c r="C31" t="s">
        <v>23</v>
      </c>
      <c r="D31">
        <v>139014899040</v>
      </c>
      <c r="E31">
        <v>19254597730</v>
      </c>
      <c r="F31">
        <v>1.1304123923428699</v>
      </c>
    </row>
    <row r="32" spans="1:6" x14ac:dyDescent="0.25">
      <c r="A32">
        <v>2019</v>
      </c>
      <c r="B32">
        <v>3</v>
      </c>
      <c r="C32" t="s">
        <v>23</v>
      </c>
      <c r="D32">
        <v>158083297460</v>
      </c>
      <c r="E32">
        <v>19068398420</v>
      </c>
      <c r="F32">
        <v>0.99175582650198202</v>
      </c>
    </row>
    <row r="33" spans="1:6" x14ac:dyDescent="0.25">
      <c r="A33">
        <v>2020</v>
      </c>
      <c r="B33">
        <v>3</v>
      </c>
      <c r="C33" t="s">
        <v>23</v>
      </c>
      <c r="D33">
        <v>164767360320</v>
      </c>
      <c r="E33">
        <v>6684062860</v>
      </c>
      <c r="F33">
        <v>0.30150568348898199</v>
      </c>
    </row>
    <row r="34" spans="1:6" x14ac:dyDescent="0.25">
      <c r="A34">
        <v>2021</v>
      </c>
      <c r="B34">
        <v>4</v>
      </c>
      <c r="C34" t="s">
        <v>23</v>
      </c>
      <c r="D34">
        <v>180836184990</v>
      </c>
      <c r="E34">
        <v>16068824670</v>
      </c>
      <c r="F34">
        <v>0.66600393096705501</v>
      </c>
    </row>
    <row r="35" spans="1:6" x14ac:dyDescent="0.25">
      <c r="A35">
        <v>2022</v>
      </c>
      <c r="B35">
        <v>4</v>
      </c>
      <c r="C35" t="s">
        <v>23</v>
      </c>
      <c r="D35">
        <v>213745188100</v>
      </c>
      <c r="E35">
        <v>32909003110</v>
      </c>
      <c r="F35">
        <v>1.2348219214004701</v>
      </c>
    </row>
    <row r="36" spans="1:6" x14ac:dyDescent="0.25">
      <c r="A36">
        <v>2006</v>
      </c>
      <c r="B36">
        <v>6</v>
      </c>
      <c r="C36" t="s">
        <v>25</v>
      </c>
      <c r="D36">
        <v>14697945100</v>
      </c>
      <c r="E36">
        <v>0</v>
      </c>
      <c r="F36">
        <v>0</v>
      </c>
    </row>
    <row r="37" spans="1:6" x14ac:dyDescent="0.25">
      <c r="A37">
        <v>2007</v>
      </c>
      <c r="B37">
        <v>7</v>
      </c>
      <c r="C37" t="s">
        <v>25</v>
      </c>
      <c r="D37">
        <v>18139479900</v>
      </c>
      <c r="E37">
        <v>3441534800</v>
      </c>
      <c r="F37">
        <v>0.49642988146628197</v>
      </c>
    </row>
    <row r="38" spans="1:6" x14ac:dyDescent="0.25">
      <c r="A38">
        <v>2008</v>
      </c>
      <c r="B38">
        <v>7</v>
      </c>
      <c r="C38" t="s">
        <v>25</v>
      </c>
      <c r="D38">
        <v>21550318800</v>
      </c>
      <c r="E38">
        <v>3410838900</v>
      </c>
      <c r="F38">
        <v>0.38056378506342198</v>
      </c>
    </row>
    <row r="39" spans="1:6" x14ac:dyDescent="0.25">
      <c r="A39">
        <v>2009</v>
      </c>
      <c r="B39">
        <v>8</v>
      </c>
      <c r="C39" t="s">
        <v>25</v>
      </c>
      <c r="D39">
        <v>28042785900</v>
      </c>
      <c r="E39">
        <v>6492467100</v>
      </c>
      <c r="F39">
        <v>0.69086532875153095</v>
      </c>
    </row>
    <row r="40" spans="1:6" x14ac:dyDescent="0.25">
      <c r="A40">
        <v>2010</v>
      </c>
      <c r="B40">
        <v>9</v>
      </c>
      <c r="C40" t="s">
        <v>25</v>
      </c>
      <c r="D40">
        <v>32701611400</v>
      </c>
      <c r="E40">
        <v>4658825500</v>
      </c>
      <c r="F40">
        <v>0.40376826724290099</v>
      </c>
    </row>
    <row r="41" spans="1:6" x14ac:dyDescent="0.25">
      <c r="A41">
        <v>2011</v>
      </c>
      <c r="B41">
        <v>10</v>
      </c>
      <c r="C41" t="s">
        <v>25</v>
      </c>
      <c r="D41">
        <v>32495781800</v>
      </c>
      <c r="E41">
        <v>-205829600</v>
      </c>
      <c r="F41">
        <v>-1.7114350625591399E-2</v>
      </c>
    </row>
    <row r="42" spans="1:6" x14ac:dyDescent="0.25">
      <c r="A42">
        <v>2012</v>
      </c>
      <c r="B42">
        <v>10</v>
      </c>
      <c r="C42" t="s">
        <v>25</v>
      </c>
      <c r="D42">
        <v>32492548800</v>
      </c>
      <c r="E42">
        <v>-3233000</v>
      </c>
      <c r="F42">
        <v>-2.6326425939375E-4</v>
      </c>
    </row>
    <row r="43" spans="1:6" x14ac:dyDescent="0.25">
      <c r="A43">
        <v>2013</v>
      </c>
      <c r="B43">
        <v>10</v>
      </c>
      <c r="C43" t="s">
        <v>25</v>
      </c>
      <c r="D43">
        <v>36244000000</v>
      </c>
      <c r="E43">
        <v>3751451200</v>
      </c>
      <c r="F43">
        <v>0.27308551734548098</v>
      </c>
    </row>
    <row r="44" spans="1:6" x14ac:dyDescent="0.25">
      <c r="A44">
        <v>2014</v>
      </c>
      <c r="B44">
        <v>9</v>
      </c>
      <c r="C44" t="s">
        <v>25</v>
      </c>
      <c r="D44">
        <v>40987427970</v>
      </c>
      <c r="E44">
        <v>4743427970</v>
      </c>
      <c r="F44">
        <v>0.31688892144599201</v>
      </c>
    </row>
    <row r="45" spans="1:6" x14ac:dyDescent="0.25">
      <c r="A45">
        <v>2015</v>
      </c>
      <c r="B45">
        <v>9</v>
      </c>
      <c r="C45" t="s">
        <v>25</v>
      </c>
      <c r="D45">
        <v>47362349130</v>
      </c>
      <c r="E45">
        <v>6374921160</v>
      </c>
      <c r="F45">
        <v>0.37865586707513299</v>
      </c>
    </row>
    <row r="46" spans="1:6" x14ac:dyDescent="0.25">
      <c r="A46">
        <v>2016</v>
      </c>
      <c r="B46">
        <v>9</v>
      </c>
      <c r="C46" t="s">
        <v>25</v>
      </c>
      <c r="D46">
        <v>49390993510</v>
      </c>
      <c r="E46">
        <v>2028644380</v>
      </c>
      <c r="F46">
        <v>0.11737622409564399</v>
      </c>
    </row>
    <row r="47" spans="1:6" x14ac:dyDescent="0.25">
      <c r="A47">
        <v>2017</v>
      </c>
      <c r="B47">
        <v>8</v>
      </c>
      <c r="C47" t="s">
        <v>25</v>
      </c>
      <c r="D47">
        <v>48780516890</v>
      </c>
      <c r="E47">
        <v>-610476620</v>
      </c>
      <c r="F47">
        <v>-3.4540316725632098E-2</v>
      </c>
    </row>
    <row r="48" spans="1:6" x14ac:dyDescent="0.25">
      <c r="A48">
        <v>2018</v>
      </c>
      <c r="B48">
        <v>8</v>
      </c>
      <c r="C48" t="s">
        <v>25</v>
      </c>
      <c r="D48">
        <v>48941597850</v>
      </c>
      <c r="E48">
        <v>161080960</v>
      </c>
      <c r="F48">
        <v>9.4568536776429499E-3</v>
      </c>
    </row>
    <row r="49" spans="1:6" x14ac:dyDescent="0.25">
      <c r="A49">
        <v>2019</v>
      </c>
      <c r="B49">
        <v>7</v>
      </c>
      <c r="C49" t="s">
        <v>25</v>
      </c>
      <c r="D49">
        <v>58960341080</v>
      </c>
      <c r="E49">
        <v>10018743230</v>
      </c>
      <c r="F49">
        <v>0.52107926180932995</v>
      </c>
    </row>
    <row r="50" spans="1:6" x14ac:dyDescent="0.25">
      <c r="A50">
        <v>2020</v>
      </c>
      <c r="B50">
        <v>6</v>
      </c>
      <c r="C50" t="s">
        <v>25</v>
      </c>
      <c r="D50">
        <v>75109107850</v>
      </c>
      <c r="E50">
        <v>16148766770</v>
      </c>
      <c r="F50">
        <v>0.72844092948775796</v>
      </c>
    </row>
    <row r="51" spans="1:6" x14ac:dyDescent="0.25">
      <c r="A51">
        <v>2021</v>
      </c>
      <c r="B51">
        <v>6</v>
      </c>
      <c r="C51" t="s">
        <v>25</v>
      </c>
      <c r="D51">
        <v>80789666160</v>
      </c>
      <c r="E51">
        <v>5680558310</v>
      </c>
      <c r="F51">
        <v>0.23544187221177601</v>
      </c>
    </row>
    <row r="52" spans="1:6" x14ac:dyDescent="0.25">
      <c r="A52">
        <v>2022</v>
      </c>
      <c r="B52">
        <v>6</v>
      </c>
      <c r="C52" t="s">
        <v>25</v>
      </c>
      <c r="D52">
        <v>80216353200</v>
      </c>
      <c r="E52">
        <v>-573312960</v>
      </c>
      <c r="F52">
        <v>-2.1512028439897302E-2</v>
      </c>
    </row>
    <row r="53" spans="1:6" x14ac:dyDescent="0.25">
      <c r="A53">
        <v>2009</v>
      </c>
      <c r="B53">
        <v>2</v>
      </c>
      <c r="C53" t="s">
        <v>26</v>
      </c>
      <c r="D53">
        <v>124981960800</v>
      </c>
      <c r="E53">
        <v>0</v>
      </c>
      <c r="F53">
        <v>0</v>
      </c>
    </row>
    <row r="54" spans="1:6" x14ac:dyDescent="0.25">
      <c r="A54">
        <v>2010</v>
      </c>
      <c r="B54">
        <v>2</v>
      </c>
      <c r="C54" t="s">
        <v>26</v>
      </c>
      <c r="D54">
        <v>142176026250</v>
      </c>
      <c r="E54">
        <v>17194065450</v>
      </c>
      <c r="F54">
        <v>1.49016485240916</v>
      </c>
    </row>
    <row r="55" spans="1:6" x14ac:dyDescent="0.25">
      <c r="A55">
        <v>2011</v>
      </c>
      <c r="B55">
        <v>2</v>
      </c>
      <c r="C55" t="s">
        <v>26</v>
      </c>
      <c r="D55">
        <v>139760050810</v>
      </c>
      <c r="E55">
        <v>-2415975440</v>
      </c>
      <c r="F55">
        <v>-0.200883890280978</v>
      </c>
    </row>
    <row r="56" spans="1:6" x14ac:dyDescent="0.25">
      <c r="A56">
        <v>2012</v>
      </c>
      <c r="B56">
        <v>2</v>
      </c>
      <c r="C56" t="s">
        <v>26</v>
      </c>
      <c r="D56">
        <v>146560929560</v>
      </c>
      <c r="E56">
        <v>6800878750</v>
      </c>
      <c r="F56">
        <v>0.55379780616933005</v>
      </c>
    </row>
    <row r="57" spans="1:6" x14ac:dyDescent="0.25">
      <c r="A57">
        <v>2013</v>
      </c>
      <c r="B57">
        <v>2</v>
      </c>
      <c r="C57" t="s">
        <v>26</v>
      </c>
      <c r="D57">
        <v>175413106510</v>
      </c>
      <c r="E57">
        <v>28852176950</v>
      </c>
      <c r="F57">
        <v>2.10028366327519</v>
      </c>
    </row>
    <row r="58" spans="1:6" x14ac:dyDescent="0.25">
      <c r="A58">
        <v>2014</v>
      </c>
      <c r="B58">
        <v>2</v>
      </c>
      <c r="C58" t="s">
        <v>26</v>
      </c>
      <c r="D58">
        <v>183462771790</v>
      </c>
      <c r="E58">
        <v>8049665280</v>
      </c>
      <c r="F58">
        <v>0.53776504349036103</v>
      </c>
    </row>
    <row r="59" spans="1:6" x14ac:dyDescent="0.25">
      <c r="A59">
        <v>2015</v>
      </c>
      <c r="B59">
        <v>2</v>
      </c>
      <c r="C59" t="s">
        <v>26</v>
      </c>
      <c r="D59">
        <v>191156487070</v>
      </c>
      <c r="E59">
        <v>7693715280</v>
      </c>
      <c r="F59">
        <v>0.45698924853489398</v>
      </c>
    </row>
    <row r="60" spans="1:6" x14ac:dyDescent="0.25">
      <c r="A60">
        <v>2016</v>
      </c>
      <c r="B60">
        <v>2</v>
      </c>
      <c r="C60" t="s">
        <v>26</v>
      </c>
      <c r="D60">
        <v>218063978560</v>
      </c>
      <c r="E60">
        <v>26907491490</v>
      </c>
      <c r="F60">
        <v>1.55685234046879</v>
      </c>
    </row>
    <row r="61" spans="1:6" x14ac:dyDescent="0.25">
      <c r="A61">
        <v>2017</v>
      </c>
      <c r="B61">
        <v>2</v>
      </c>
      <c r="C61" t="s">
        <v>26</v>
      </c>
      <c r="D61">
        <v>286439405140</v>
      </c>
      <c r="E61">
        <v>68375426580</v>
      </c>
      <c r="F61">
        <v>3.86863118578301</v>
      </c>
    </row>
    <row r="62" spans="1:6" x14ac:dyDescent="0.25">
      <c r="A62">
        <v>2018</v>
      </c>
      <c r="B62">
        <v>2</v>
      </c>
      <c r="C62" t="s">
        <v>26</v>
      </c>
      <c r="D62">
        <v>228958771280</v>
      </c>
      <c r="E62">
        <v>-57480633860</v>
      </c>
      <c r="F62">
        <v>-3.3746132610098001</v>
      </c>
    </row>
    <row r="63" spans="1:6" x14ac:dyDescent="0.25">
      <c r="A63">
        <v>2019</v>
      </c>
      <c r="B63">
        <v>2</v>
      </c>
      <c r="C63" t="s">
        <v>26</v>
      </c>
      <c r="D63">
        <v>300936784280</v>
      </c>
      <c r="E63">
        <v>71978013000</v>
      </c>
      <c r="F63">
        <v>3.7436082569951599</v>
      </c>
    </row>
    <row r="64" spans="1:6" x14ac:dyDescent="0.25">
      <c r="A64">
        <v>2020</v>
      </c>
      <c r="B64">
        <v>1</v>
      </c>
      <c r="C64" t="s">
        <v>26</v>
      </c>
      <c r="D64">
        <v>383850985923.59998</v>
      </c>
      <c r="E64">
        <v>82914201643.600006</v>
      </c>
      <c r="F64">
        <v>3.7401059147874101</v>
      </c>
    </row>
    <row r="65" spans="1:6" x14ac:dyDescent="0.25">
      <c r="A65">
        <v>2021</v>
      </c>
      <c r="B65">
        <v>2</v>
      </c>
      <c r="C65" t="s">
        <v>26</v>
      </c>
      <c r="D65">
        <v>333554630350</v>
      </c>
      <c r="E65">
        <v>-50296355573.599998</v>
      </c>
      <c r="F65">
        <v>-2.0846310301632198</v>
      </c>
    </row>
    <row r="66" spans="1:6" x14ac:dyDescent="0.25">
      <c r="A66">
        <v>2022</v>
      </c>
      <c r="B66">
        <v>2</v>
      </c>
      <c r="C66" t="s">
        <v>26</v>
      </c>
      <c r="D66">
        <v>369264345020</v>
      </c>
      <c r="E66">
        <v>35709714670</v>
      </c>
      <c r="F66">
        <v>1.3399110977042199</v>
      </c>
    </row>
    <row r="67" spans="1:6" x14ac:dyDescent="0.25">
      <c r="A67">
        <v>2006</v>
      </c>
      <c r="B67">
        <v>5</v>
      </c>
      <c r="C67" t="s">
        <v>20</v>
      </c>
      <c r="D67">
        <v>19535692500</v>
      </c>
      <c r="E67">
        <v>0</v>
      </c>
      <c r="F67">
        <v>0</v>
      </c>
    </row>
    <row r="68" spans="1:6" x14ac:dyDescent="0.25">
      <c r="A68">
        <v>2007</v>
      </c>
      <c r="B68">
        <v>5</v>
      </c>
      <c r="C68" t="s">
        <v>20</v>
      </c>
      <c r="D68">
        <v>24297070900</v>
      </c>
      <c r="E68">
        <v>4761378400</v>
      </c>
      <c r="F68">
        <v>0.68681290531425498</v>
      </c>
    </row>
    <row r="69" spans="1:6" x14ac:dyDescent="0.25">
      <c r="A69">
        <v>2008</v>
      </c>
      <c r="B69">
        <v>6</v>
      </c>
      <c r="C69" t="s">
        <v>20</v>
      </c>
      <c r="D69">
        <v>29418570200</v>
      </c>
      <c r="E69">
        <v>5121499300</v>
      </c>
      <c r="F69">
        <v>0.57143043572291397</v>
      </c>
    </row>
    <row r="70" spans="1:6" x14ac:dyDescent="0.25">
      <c r="A70">
        <v>2009</v>
      </c>
      <c r="B70">
        <v>6</v>
      </c>
      <c r="C70" t="s">
        <v>20</v>
      </c>
      <c r="D70">
        <v>34047203600</v>
      </c>
      <c r="E70">
        <v>4628633400</v>
      </c>
      <c r="F70">
        <v>0.49253423795729601</v>
      </c>
    </row>
    <row r="71" spans="1:6" x14ac:dyDescent="0.25">
      <c r="A71">
        <v>2010</v>
      </c>
      <c r="B71">
        <v>8</v>
      </c>
      <c r="C71" t="s">
        <v>20</v>
      </c>
      <c r="D71">
        <v>34112317390</v>
      </c>
      <c r="E71">
        <v>65113790</v>
      </c>
      <c r="F71">
        <v>5.6432425215149403E-3</v>
      </c>
    </row>
    <row r="72" spans="1:6" x14ac:dyDescent="0.25">
      <c r="A72">
        <v>2011</v>
      </c>
      <c r="B72">
        <v>8</v>
      </c>
      <c r="C72" t="s">
        <v>20</v>
      </c>
      <c r="D72">
        <v>35664777320</v>
      </c>
      <c r="E72">
        <v>1552459930</v>
      </c>
      <c r="F72">
        <v>0.12908417241349701</v>
      </c>
    </row>
    <row r="73" spans="1:6" x14ac:dyDescent="0.25">
      <c r="A73">
        <v>2012</v>
      </c>
      <c r="B73">
        <v>8</v>
      </c>
      <c r="C73" t="s">
        <v>20</v>
      </c>
      <c r="D73">
        <v>39819376400</v>
      </c>
      <c r="E73">
        <v>4154599080</v>
      </c>
      <c r="F73">
        <v>0.33831037731956598</v>
      </c>
    </row>
    <row r="74" spans="1:6" x14ac:dyDescent="0.25">
      <c r="A74">
        <v>2013</v>
      </c>
      <c r="B74">
        <v>7</v>
      </c>
      <c r="C74" t="s">
        <v>20</v>
      </c>
      <c r="D74">
        <v>49461593180</v>
      </c>
      <c r="E74">
        <v>9642216780</v>
      </c>
      <c r="F74">
        <v>0.70190164214946504</v>
      </c>
    </row>
    <row r="75" spans="1:6" x14ac:dyDescent="0.25">
      <c r="A75">
        <v>2014</v>
      </c>
      <c r="B75">
        <v>7</v>
      </c>
      <c r="C75" t="s">
        <v>20</v>
      </c>
      <c r="D75">
        <v>58484083830</v>
      </c>
      <c r="E75">
        <v>9022490650</v>
      </c>
      <c r="F75">
        <v>0.60275550697042501</v>
      </c>
    </row>
    <row r="76" spans="1:6" x14ac:dyDescent="0.25">
      <c r="A76">
        <v>2015</v>
      </c>
      <c r="B76">
        <v>7</v>
      </c>
      <c r="C76" t="s">
        <v>20</v>
      </c>
      <c r="D76">
        <v>63391288960</v>
      </c>
      <c r="E76">
        <v>4907205130</v>
      </c>
      <c r="F76">
        <v>0.29147686171787701</v>
      </c>
    </row>
    <row r="77" spans="1:6" x14ac:dyDescent="0.25">
      <c r="A77">
        <v>2016</v>
      </c>
      <c r="B77">
        <v>8</v>
      </c>
      <c r="C77" t="s">
        <v>20</v>
      </c>
      <c r="D77">
        <v>62288782080</v>
      </c>
      <c r="E77">
        <v>-1102506880</v>
      </c>
      <c r="F77">
        <v>-6.3790428667378704E-2</v>
      </c>
    </row>
    <row r="78" spans="1:6" x14ac:dyDescent="0.25">
      <c r="A78">
        <v>2017</v>
      </c>
      <c r="B78">
        <v>7</v>
      </c>
      <c r="C78" t="s">
        <v>20</v>
      </c>
      <c r="D78">
        <v>60610047550</v>
      </c>
      <c r="E78">
        <v>-1678734530</v>
      </c>
      <c r="F78">
        <v>-9.4981561070193302E-2</v>
      </c>
    </row>
    <row r="79" spans="1:6" x14ac:dyDescent="0.25">
      <c r="A79">
        <v>2018</v>
      </c>
      <c r="B79">
        <v>6</v>
      </c>
      <c r="C79" t="s">
        <v>20</v>
      </c>
      <c r="D79">
        <v>60599650740</v>
      </c>
      <c r="E79">
        <v>-10396810</v>
      </c>
      <c r="F79">
        <v>-6.1038319416680301E-4</v>
      </c>
    </row>
    <row r="80" spans="1:6" x14ac:dyDescent="0.25">
      <c r="A80">
        <v>2019</v>
      </c>
      <c r="B80">
        <v>6</v>
      </c>
      <c r="C80" t="s">
        <v>20</v>
      </c>
      <c r="D80">
        <v>63085147800</v>
      </c>
      <c r="E80">
        <v>2485497060</v>
      </c>
      <c r="F80">
        <v>0.12927180021700799</v>
      </c>
    </row>
    <row r="81" spans="1:6" x14ac:dyDescent="0.25">
      <c r="A81">
        <v>2020</v>
      </c>
      <c r="B81">
        <v>8</v>
      </c>
      <c r="C81" t="s">
        <v>20</v>
      </c>
      <c r="D81">
        <v>62266384100</v>
      </c>
      <c r="E81">
        <v>-818763700</v>
      </c>
      <c r="F81">
        <v>-3.6932912534647699E-2</v>
      </c>
    </row>
    <row r="82" spans="1:6" x14ac:dyDescent="0.25">
      <c r="A82">
        <v>2021</v>
      </c>
      <c r="B82">
        <v>8</v>
      </c>
      <c r="C82" t="s">
        <v>20</v>
      </c>
      <c r="D82">
        <v>63852845500</v>
      </c>
      <c r="E82">
        <v>1586461400</v>
      </c>
      <c r="F82">
        <v>6.57540019526206E-2</v>
      </c>
    </row>
    <row r="83" spans="1:6" x14ac:dyDescent="0.25">
      <c r="A83">
        <v>2022</v>
      </c>
      <c r="B83">
        <v>8</v>
      </c>
      <c r="C83" t="s">
        <v>20</v>
      </c>
      <c r="D83">
        <v>75203077490</v>
      </c>
      <c r="E83">
        <v>11350231990</v>
      </c>
      <c r="F83">
        <v>0.42588695948598798</v>
      </c>
    </row>
    <row r="84" spans="1:6" x14ac:dyDescent="0.25">
      <c r="A84">
        <v>2006</v>
      </c>
      <c r="B84">
        <v>3</v>
      </c>
      <c r="C84" t="s">
        <v>21</v>
      </c>
      <c r="D84">
        <v>27886041900</v>
      </c>
      <c r="E84">
        <v>0</v>
      </c>
      <c r="F84">
        <v>0</v>
      </c>
    </row>
    <row r="85" spans="1:6" x14ac:dyDescent="0.25">
      <c r="A85">
        <v>2007</v>
      </c>
      <c r="B85">
        <v>3</v>
      </c>
      <c r="C85" t="s">
        <v>21</v>
      </c>
      <c r="D85">
        <v>44013019900</v>
      </c>
      <c r="E85">
        <v>16126978000</v>
      </c>
      <c r="F85">
        <v>2.3262626247304898</v>
      </c>
    </row>
    <row r="86" spans="1:6" x14ac:dyDescent="0.25">
      <c r="A86">
        <v>2008</v>
      </c>
      <c r="B86">
        <v>2</v>
      </c>
      <c r="C86" t="s">
        <v>21</v>
      </c>
      <c r="D86">
        <v>41901173500</v>
      </c>
      <c r="E86">
        <v>-2111846400</v>
      </c>
      <c r="F86">
        <v>-0.23562891212966999</v>
      </c>
    </row>
    <row r="87" spans="1:6" x14ac:dyDescent="0.25">
      <c r="A87">
        <v>2009</v>
      </c>
      <c r="B87">
        <v>3</v>
      </c>
      <c r="C87" t="s">
        <v>21</v>
      </c>
      <c r="D87">
        <v>57792252780</v>
      </c>
      <c r="E87">
        <v>15891079280</v>
      </c>
      <c r="F87">
        <v>1.69097440801723</v>
      </c>
    </row>
    <row r="88" spans="1:6" x14ac:dyDescent="0.25">
      <c r="A88">
        <v>2010</v>
      </c>
      <c r="B88">
        <v>4</v>
      </c>
      <c r="C88" t="s">
        <v>21</v>
      </c>
      <c r="D88">
        <v>50304157369.400002</v>
      </c>
      <c r="E88">
        <v>-7488095410.6000004</v>
      </c>
      <c r="F88">
        <v>-0.64897371856650998</v>
      </c>
    </row>
    <row r="89" spans="1:6" x14ac:dyDescent="0.25">
      <c r="A89">
        <v>2011</v>
      </c>
      <c r="B89">
        <v>6</v>
      </c>
      <c r="C89" t="s">
        <v>21</v>
      </c>
      <c r="D89">
        <v>37129375488</v>
      </c>
      <c r="E89">
        <v>-13174781881.4</v>
      </c>
      <c r="F89">
        <v>-1.09545875099582</v>
      </c>
    </row>
    <row r="90" spans="1:6" x14ac:dyDescent="0.25">
      <c r="A90">
        <v>2012</v>
      </c>
      <c r="B90">
        <v>4</v>
      </c>
      <c r="C90" t="s">
        <v>21</v>
      </c>
      <c r="D90">
        <v>47741974411.5</v>
      </c>
      <c r="E90">
        <v>10612598923.5</v>
      </c>
      <c r="F90">
        <v>0.86418744071702402</v>
      </c>
    </row>
    <row r="91" spans="1:6" x14ac:dyDescent="0.25">
      <c r="A91">
        <v>2013</v>
      </c>
      <c r="B91">
        <v>6</v>
      </c>
      <c r="C91" t="s">
        <v>21</v>
      </c>
      <c r="D91">
        <v>49832853733.400002</v>
      </c>
      <c r="E91">
        <v>2090879321.9000001</v>
      </c>
      <c r="F91">
        <v>0.15220479512782401</v>
      </c>
    </row>
    <row r="92" spans="1:6" x14ac:dyDescent="0.25">
      <c r="A92">
        <v>2014</v>
      </c>
      <c r="B92">
        <v>4</v>
      </c>
      <c r="C92" t="s">
        <v>21</v>
      </c>
      <c r="D92">
        <v>71625746511.899994</v>
      </c>
      <c r="E92">
        <v>21792892778.5</v>
      </c>
      <c r="F92">
        <v>1.45589357136733</v>
      </c>
    </row>
    <row r="93" spans="1:6" x14ac:dyDescent="0.25">
      <c r="A93">
        <v>2015</v>
      </c>
      <c r="B93">
        <v>6</v>
      </c>
      <c r="C93" t="s">
        <v>21</v>
      </c>
      <c r="D93">
        <v>65775613750.5</v>
      </c>
      <c r="E93">
        <v>-5850132761.3999901</v>
      </c>
      <c r="F93">
        <v>-0.34748462571928601</v>
      </c>
    </row>
    <row r="94" spans="1:6" x14ac:dyDescent="0.25">
      <c r="A94">
        <v>2016</v>
      </c>
      <c r="B94">
        <v>6</v>
      </c>
      <c r="C94" t="s">
        <v>21</v>
      </c>
      <c r="D94">
        <v>68797117231.899994</v>
      </c>
      <c r="E94">
        <v>3021503481.3999901</v>
      </c>
      <c r="F94">
        <v>0.17482249389544199</v>
      </c>
    </row>
    <row r="95" spans="1:6" x14ac:dyDescent="0.25">
      <c r="A95">
        <v>2017</v>
      </c>
      <c r="B95">
        <v>5</v>
      </c>
      <c r="C95" t="s">
        <v>21</v>
      </c>
      <c r="D95">
        <v>78514441396.899994</v>
      </c>
      <c r="E95">
        <v>9717324165</v>
      </c>
      <c r="F95">
        <v>0.54979903142685305</v>
      </c>
    </row>
    <row r="96" spans="1:6" x14ac:dyDescent="0.25">
      <c r="A96">
        <v>2018</v>
      </c>
      <c r="B96">
        <v>5</v>
      </c>
      <c r="C96" t="s">
        <v>21</v>
      </c>
      <c r="D96">
        <v>63554355618.699997</v>
      </c>
      <c r="E96">
        <v>-14960085778.200001</v>
      </c>
      <c r="F96">
        <v>-0.878287180616658</v>
      </c>
    </row>
    <row r="97" spans="1:6" x14ac:dyDescent="0.25">
      <c r="A97">
        <v>2019</v>
      </c>
      <c r="B97">
        <v>5</v>
      </c>
      <c r="C97" t="s">
        <v>21</v>
      </c>
      <c r="D97">
        <v>69229265895.899994</v>
      </c>
      <c r="E97">
        <v>5674910277.1999998</v>
      </c>
      <c r="F97">
        <v>0.29515459076972</v>
      </c>
    </row>
    <row r="98" spans="1:6" x14ac:dyDescent="0.25">
      <c r="A98">
        <v>2020</v>
      </c>
      <c r="B98">
        <v>5</v>
      </c>
      <c r="C98" t="s">
        <v>21</v>
      </c>
      <c r="D98">
        <v>81922195002.899994</v>
      </c>
      <c r="E98">
        <v>12692929107</v>
      </c>
      <c r="F98">
        <v>0.57255449956723203</v>
      </c>
    </row>
    <row r="99" spans="1:6" x14ac:dyDescent="0.25">
      <c r="A99">
        <v>2021</v>
      </c>
      <c r="B99">
        <v>5</v>
      </c>
      <c r="C99" t="s">
        <v>21</v>
      </c>
      <c r="D99">
        <v>116167113084.39999</v>
      </c>
      <c r="E99">
        <v>34244918081.5</v>
      </c>
      <c r="F99">
        <v>1.4193477448605301</v>
      </c>
    </row>
    <row r="100" spans="1:6" x14ac:dyDescent="0.25">
      <c r="A100">
        <v>2022</v>
      </c>
      <c r="B100">
        <v>5</v>
      </c>
      <c r="C100" t="s">
        <v>21</v>
      </c>
      <c r="D100">
        <v>160801895222.70001</v>
      </c>
      <c r="E100">
        <v>44634782138.300003</v>
      </c>
      <c r="F100">
        <v>1.6748002744743999</v>
      </c>
    </row>
    <row r="101" spans="1:6" x14ac:dyDescent="0.25">
      <c r="A101">
        <v>2006</v>
      </c>
      <c r="B101">
        <v>2</v>
      </c>
      <c r="C101" t="s">
        <v>18</v>
      </c>
      <c r="D101">
        <v>44920533600</v>
      </c>
      <c r="E101">
        <v>0</v>
      </c>
      <c r="F101">
        <v>0</v>
      </c>
    </row>
    <row r="102" spans="1:6" x14ac:dyDescent="0.25">
      <c r="A102">
        <v>2007</v>
      </c>
      <c r="B102">
        <v>2</v>
      </c>
      <c r="C102" t="s">
        <v>18</v>
      </c>
      <c r="D102">
        <v>52101000500</v>
      </c>
      <c r="E102">
        <v>7180466900</v>
      </c>
      <c r="F102">
        <v>1.03575832853399</v>
      </c>
    </row>
    <row r="103" spans="1:6" x14ac:dyDescent="0.25">
      <c r="A103">
        <v>2008</v>
      </c>
      <c r="B103">
        <v>5</v>
      </c>
      <c r="C103" t="s">
        <v>18</v>
      </c>
      <c r="D103">
        <v>30009407490</v>
      </c>
      <c r="E103">
        <v>-22091593010</v>
      </c>
      <c r="F103">
        <v>-2.4648658293319698</v>
      </c>
    </row>
    <row r="104" spans="1:6" x14ac:dyDescent="0.25">
      <c r="A104">
        <v>2009</v>
      </c>
      <c r="B104">
        <v>5</v>
      </c>
      <c r="C104" t="s">
        <v>18</v>
      </c>
      <c r="D104">
        <v>37235981980</v>
      </c>
      <c r="E104">
        <v>7226574490</v>
      </c>
      <c r="F104">
        <v>0.768981911480349</v>
      </c>
    </row>
    <row r="105" spans="1:6" x14ac:dyDescent="0.25">
      <c r="A105">
        <v>2010</v>
      </c>
      <c r="B105">
        <v>7</v>
      </c>
      <c r="C105" t="s">
        <v>18</v>
      </c>
      <c r="D105">
        <v>40330738421</v>
      </c>
      <c r="E105">
        <v>3094756441</v>
      </c>
      <c r="F105">
        <v>0.26821447717270702</v>
      </c>
    </row>
    <row r="106" spans="1:6" x14ac:dyDescent="0.25">
      <c r="A106">
        <v>2011</v>
      </c>
      <c r="B106">
        <v>7</v>
      </c>
      <c r="C106" t="s">
        <v>18</v>
      </c>
      <c r="D106">
        <v>36022078484</v>
      </c>
      <c r="E106">
        <v>-4308659937</v>
      </c>
      <c r="F106">
        <v>-0.35825710630665702</v>
      </c>
    </row>
    <row r="107" spans="1:6" x14ac:dyDescent="0.25">
      <c r="A107">
        <v>2012</v>
      </c>
      <c r="B107">
        <v>9</v>
      </c>
      <c r="C107" t="s">
        <v>18</v>
      </c>
      <c r="D107">
        <v>36297987613</v>
      </c>
      <c r="E107">
        <v>275909129</v>
      </c>
      <c r="F107">
        <v>2.2467371638156399E-2</v>
      </c>
    </row>
    <row r="108" spans="1:6" x14ac:dyDescent="0.25">
      <c r="A108">
        <v>2013</v>
      </c>
      <c r="B108">
        <v>9</v>
      </c>
      <c r="C108" t="s">
        <v>18</v>
      </c>
      <c r="D108">
        <v>36604088699</v>
      </c>
      <c r="E108">
        <v>306101086</v>
      </c>
      <c r="F108">
        <v>2.22825165446171E-2</v>
      </c>
    </row>
    <row r="109" spans="1:6" x14ac:dyDescent="0.25">
      <c r="A109">
        <v>2014</v>
      </c>
      <c r="B109">
        <v>10</v>
      </c>
      <c r="C109" t="s">
        <v>18</v>
      </c>
      <c r="D109">
        <v>37197902112</v>
      </c>
      <c r="E109">
        <v>593813413</v>
      </c>
      <c r="F109">
        <v>3.9670232830737603E-2</v>
      </c>
    </row>
    <row r="110" spans="1:6" x14ac:dyDescent="0.25">
      <c r="A110">
        <v>2015</v>
      </c>
      <c r="B110">
        <v>10</v>
      </c>
      <c r="C110" t="s">
        <v>18</v>
      </c>
      <c r="D110">
        <v>43785344870</v>
      </c>
      <c r="E110">
        <v>6587442758</v>
      </c>
      <c r="F110">
        <v>0.391279168280458</v>
      </c>
    </row>
    <row r="111" spans="1:6" x14ac:dyDescent="0.25">
      <c r="A111">
        <v>2016</v>
      </c>
      <c r="B111">
        <v>10</v>
      </c>
      <c r="C111" t="s">
        <v>18</v>
      </c>
      <c r="D111">
        <v>47866601798</v>
      </c>
      <c r="E111">
        <v>4081256928</v>
      </c>
      <c r="F111">
        <v>0.23613923292599201</v>
      </c>
    </row>
    <row r="112" spans="1:6" x14ac:dyDescent="0.25">
      <c r="A112">
        <v>2017</v>
      </c>
      <c r="B112">
        <v>9</v>
      </c>
      <c r="C112" t="s">
        <v>18</v>
      </c>
      <c r="D112">
        <v>48535739900</v>
      </c>
      <c r="E112">
        <v>669138102</v>
      </c>
      <c r="F112">
        <v>3.7859340094414003E-2</v>
      </c>
    </row>
    <row r="113" spans="1:6" x14ac:dyDescent="0.25">
      <c r="A113">
        <v>2018</v>
      </c>
      <c r="B113">
        <v>9</v>
      </c>
      <c r="C113" t="s">
        <v>18</v>
      </c>
      <c r="D113">
        <v>47694425935</v>
      </c>
      <c r="E113">
        <v>-841313965</v>
      </c>
      <c r="F113">
        <v>-4.9392448765903998E-2</v>
      </c>
    </row>
    <row r="114" spans="1:6" x14ac:dyDescent="0.25">
      <c r="A114">
        <v>2019</v>
      </c>
      <c r="B114">
        <v>9</v>
      </c>
      <c r="C114" t="s">
        <v>18</v>
      </c>
      <c r="D114">
        <v>49689394462.900002</v>
      </c>
      <c r="E114">
        <v>1994968527.9000001</v>
      </c>
      <c r="F114">
        <v>0.103759194540309</v>
      </c>
    </row>
    <row r="115" spans="1:6" x14ac:dyDescent="0.25">
      <c r="A115">
        <v>2020</v>
      </c>
      <c r="B115">
        <v>9</v>
      </c>
      <c r="C115" t="s">
        <v>18</v>
      </c>
      <c r="D115">
        <v>51726523863</v>
      </c>
      <c r="E115">
        <v>2037129400.0999999</v>
      </c>
      <c r="F115">
        <v>9.1891130439286303E-2</v>
      </c>
    </row>
    <row r="116" spans="1:6" x14ac:dyDescent="0.25">
      <c r="A116">
        <v>2021</v>
      </c>
      <c r="B116">
        <v>9</v>
      </c>
      <c r="C116" t="s">
        <v>18</v>
      </c>
      <c r="D116">
        <v>50690212440</v>
      </c>
      <c r="E116">
        <v>-1036311423</v>
      </c>
      <c r="F116">
        <v>-4.2951957943297599E-2</v>
      </c>
    </row>
    <row r="117" spans="1:6" x14ac:dyDescent="0.25">
      <c r="A117">
        <v>2022</v>
      </c>
      <c r="B117">
        <v>9</v>
      </c>
      <c r="C117" t="s">
        <v>18</v>
      </c>
      <c r="D117">
        <v>56195485911.699997</v>
      </c>
      <c r="E117">
        <v>5505273471.6999998</v>
      </c>
      <c r="F117">
        <v>0.20657059539108</v>
      </c>
    </row>
    <row r="118" spans="1:6" x14ac:dyDescent="0.25">
      <c r="A118">
        <v>2006</v>
      </c>
      <c r="B118">
        <v>1</v>
      </c>
      <c r="C118" t="s">
        <v>24</v>
      </c>
      <c r="D118">
        <v>84049095490</v>
      </c>
      <c r="E118">
        <v>0</v>
      </c>
      <c r="F118">
        <v>0</v>
      </c>
    </row>
    <row r="119" spans="1:6" x14ac:dyDescent="0.25">
      <c r="A119">
        <v>2007</v>
      </c>
      <c r="B119">
        <v>1</v>
      </c>
      <c r="C119" t="s">
        <v>24</v>
      </c>
      <c r="D119">
        <v>97389773900</v>
      </c>
      <c r="E119">
        <v>13340678410</v>
      </c>
      <c r="F119">
        <v>1.92434823025938</v>
      </c>
    </row>
    <row r="120" spans="1:6" x14ac:dyDescent="0.25">
      <c r="A120">
        <v>2008</v>
      </c>
      <c r="B120">
        <v>1</v>
      </c>
      <c r="C120" t="s">
        <v>24</v>
      </c>
      <c r="D120">
        <v>154853445040</v>
      </c>
      <c r="E120">
        <v>57463671140</v>
      </c>
      <c r="F120">
        <v>6.4114995852422396</v>
      </c>
    </row>
    <row r="121" spans="1:6" x14ac:dyDescent="0.25">
      <c r="A121">
        <v>2009</v>
      </c>
      <c r="B121">
        <v>1</v>
      </c>
      <c r="C121" t="s">
        <v>24</v>
      </c>
      <c r="D121">
        <v>177552311210</v>
      </c>
      <c r="E121">
        <v>22698866170</v>
      </c>
      <c r="F121">
        <v>2.4153930081253798</v>
      </c>
    </row>
    <row r="122" spans="1:6" x14ac:dyDescent="0.25">
      <c r="A122">
        <v>2010</v>
      </c>
      <c r="B122">
        <v>1</v>
      </c>
      <c r="C122" t="s">
        <v>24</v>
      </c>
      <c r="D122">
        <v>178459706390</v>
      </c>
      <c r="E122">
        <v>907395180</v>
      </c>
      <c r="F122">
        <v>7.8641575979430903E-2</v>
      </c>
    </row>
    <row r="123" spans="1:6" x14ac:dyDescent="0.25">
      <c r="A123">
        <v>2011</v>
      </c>
      <c r="B123">
        <v>1</v>
      </c>
      <c r="C123" t="s">
        <v>24</v>
      </c>
      <c r="D123">
        <v>188395843560</v>
      </c>
      <c r="E123">
        <v>9936137170</v>
      </c>
      <c r="F123">
        <v>0.82617143205521404</v>
      </c>
    </row>
    <row r="124" spans="1:6" x14ac:dyDescent="0.25">
      <c r="A124">
        <v>2012</v>
      </c>
      <c r="B124">
        <v>1</v>
      </c>
      <c r="C124" t="s">
        <v>24</v>
      </c>
      <c r="D124">
        <v>198981359310</v>
      </c>
      <c r="E124">
        <v>10585515750</v>
      </c>
      <c r="F124">
        <v>0.86198204894049801</v>
      </c>
    </row>
    <row r="125" spans="1:6" x14ac:dyDescent="0.25">
      <c r="A125">
        <v>2013</v>
      </c>
      <c r="B125">
        <v>1</v>
      </c>
      <c r="C125" t="s">
        <v>24</v>
      </c>
      <c r="D125">
        <v>199965193850</v>
      </c>
      <c r="E125">
        <v>983834540</v>
      </c>
      <c r="F125">
        <v>7.1617875327354294E-2</v>
      </c>
    </row>
    <row r="126" spans="1:6" x14ac:dyDescent="0.25">
      <c r="A126">
        <v>2014</v>
      </c>
      <c r="B126">
        <v>1</v>
      </c>
      <c r="C126" t="s">
        <v>24</v>
      </c>
      <c r="D126">
        <v>240512322130</v>
      </c>
      <c r="E126">
        <v>40547128280</v>
      </c>
      <c r="F126">
        <v>2.7087869426172499</v>
      </c>
    </row>
    <row r="127" spans="1:6" x14ac:dyDescent="0.25">
      <c r="A127">
        <v>2015</v>
      </c>
      <c r="B127">
        <v>1</v>
      </c>
      <c r="C127" t="s">
        <v>24</v>
      </c>
      <c r="D127">
        <v>283198414890</v>
      </c>
      <c r="E127">
        <v>42686092760</v>
      </c>
      <c r="F127">
        <v>2.53545715474971</v>
      </c>
    </row>
    <row r="128" spans="1:6" x14ac:dyDescent="0.25">
      <c r="A128">
        <v>2016</v>
      </c>
      <c r="B128">
        <v>1</v>
      </c>
      <c r="C128" t="s">
        <v>24</v>
      </c>
      <c r="D128">
        <v>291178623730</v>
      </c>
      <c r="E128">
        <v>7980208840</v>
      </c>
      <c r="F128">
        <v>0.461730400048665</v>
      </c>
    </row>
    <row r="129" spans="1:6" x14ac:dyDescent="0.25">
      <c r="A129">
        <v>2017</v>
      </c>
      <c r="B129">
        <v>1</v>
      </c>
      <c r="C129" t="s">
        <v>24</v>
      </c>
      <c r="D129">
        <v>296525004583</v>
      </c>
      <c r="E129">
        <v>5346380853</v>
      </c>
      <c r="F129">
        <v>0.30249428388998001</v>
      </c>
    </row>
    <row r="130" spans="1:6" x14ac:dyDescent="0.25">
      <c r="A130">
        <v>2018</v>
      </c>
      <c r="B130">
        <v>1</v>
      </c>
      <c r="C130" t="s">
        <v>24</v>
      </c>
      <c r="D130">
        <v>310613453340</v>
      </c>
      <c r="E130">
        <v>14088448757</v>
      </c>
      <c r="F130">
        <v>0.82711450465604197</v>
      </c>
    </row>
    <row r="131" spans="1:6" x14ac:dyDescent="0.25">
      <c r="A131">
        <v>2019</v>
      </c>
      <c r="B131">
        <v>1</v>
      </c>
      <c r="C131" t="s">
        <v>24</v>
      </c>
      <c r="D131">
        <v>342706297665.09998</v>
      </c>
      <c r="E131">
        <v>32092844325.099998</v>
      </c>
      <c r="F131">
        <v>1.6691630124035901</v>
      </c>
    </row>
    <row r="132" spans="1:6" x14ac:dyDescent="0.25">
      <c r="A132">
        <v>2020</v>
      </c>
      <c r="B132">
        <v>2</v>
      </c>
      <c r="C132" t="s">
        <v>24</v>
      </c>
      <c r="D132">
        <v>383663238290</v>
      </c>
      <c r="E132">
        <v>40956940624.900002</v>
      </c>
      <c r="F132">
        <v>1.8474916581990599</v>
      </c>
    </row>
    <row r="133" spans="1:6" x14ac:dyDescent="0.25">
      <c r="A133">
        <v>2021</v>
      </c>
      <c r="B133">
        <v>1</v>
      </c>
      <c r="C133" t="s">
        <v>24</v>
      </c>
      <c r="D133">
        <v>405464037550</v>
      </c>
      <c r="E133">
        <v>21800799260</v>
      </c>
      <c r="F133">
        <v>0.90357685167173196</v>
      </c>
    </row>
    <row r="134" spans="1:6" x14ac:dyDescent="0.25">
      <c r="A134">
        <v>2022</v>
      </c>
      <c r="B134">
        <v>1</v>
      </c>
      <c r="C134" t="s">
        <v>24</v>
      </c>
      <c r="D134">
        <v>423837664000</v>
      </c>
      <c r="E134">
        <v>18373626450</v>
      </c>
      <c r="F134">
        <v>0.68942096605743797</v>
      </c>
    </row>
    <row r="135" spans="1:6" x14ac:dyDescent="0.25">
      <c r="A135">
        <v>2006</v>
      </c>
      <c r="B135">
        <v>4</v>
      </c>
      <c r="C135" t="s">
        <v>22</v>
      </c>
      <c r="D135">
        <v>27060473700</v>
      </c>
      <c r="E135">
        <v>0</v>
      </c>
      <c r="F135">
        <v>0</v>
      </c>
    </row>
    <row r="136" spans="1:6" x14ac:dyDescent="0.25">
      <c r="A136">
        <v>2007</v>
      </c>
      <c r="B136">
        <v>4</v>
      </c>
      <c r="C136" t="s">
        <v>22</v>
      </c>
      <c r="D136">
        <v>31440012600</v>
      </c>
      <c r="E136">
        <v>4379538900</v>
      </c>
      <c r="F136">
        <v>0.63173383485878798</v>
      </c>
    </row>
    <row r="137" spans="1:6" x14ac:dyDescent="0.25">
      <c r="A137">
        <v>2008</v>
      </c>
      <c r="B137">
        <v>4</v>
      </c>
      <c r="C137" t="s">
        <v>22</v>
      </c>
      <c r="D137">
        <v>35485937670</v>
      </c>
      <c r="E137">
        <v>4045925070</v>
      </c>
      <c r="F137">
        <v>0.451423419242166</v>
      </c>
    </row>
    <row r="138" spans="1:6" x14ac:dyDescent="0.25">
      <c r="A138">
        <v>2009</v>
      </c>
      <c r="B138">
        <v>4</v>
      </c>
      <c r="C138" t="s">
        <v>22</v>
      </c>
      <c r="D138">
        <v>41839756400</v>
      </c>
      <c r="E138">
        <v>6353818730</v>
      </c>
      <c r="F138">
        <v>0.67611171502572298</v>
      </c>
    </row>
    <row r="139" spans="1:6" x14ac:dyDescent="0.25">
      <c r="A139">
        <v>2010</v>
      </c>
      <c r="B139">
        <v>5</v>
      </c>
      <c r="C139" t="s">
        <v>22</v>
      </c>
      <c r="D139">
        <v>44039811310</v>
      </c>
      <c r="E139">
        <v>2200054910</v>
      </c>
      <c r="F139">
        <v>0.19067302667806199</v>
      </c>
    </row>
    <row r="140" spans="1:6" x14ac:dyDescent="0.25">
      <c r="A140">
        <v>2011</v>
      </c>
      <c r="B140">
        <v>5</v>
      </c>
      <c r="C140" t="s">
        <v>22</v>
      </c>
      <c r="D140">
        <v>43596106194</v>
      </c>
      <c r="E140">
        <v>-443705116</v>
      </c>
      <c r="F140">
        <v>-3.6893259908160503E-2</v>
      </c>
    </row>
    <row r="141" spans="1:6" x14ac:dyDescent="0.25">
      <c r="A141">
        <v>2012</v>
      </c>
      <c r="B141">
        <v>5</v>
      </c>
      <c r="C141" t="s">
        <v>22</v>
      </c>
      <c r="D141">
        <v>47172410456</v>
      </c>
      <c r="E141">
        <v>3576304262</v>
      </c>
      <c r="F141">
        <v>0.29121963900468401</v>
      </c>
    </row>
    <row r="142" spans="1:6" x14ac:dyDescent="0.25">
      <c r="A142">
        <v>2013</v>
      </c>
      <c r="B142">
        <v>5</v>
      </c>
      <c r="C142" t="s">
        <v>22</v>
      </c>
      <c r="D142">
        <v>50974246118.599998</v>
      </c>
      <c r="E142">
        <v>3801835662.5999999</v>
      </c>
      <c r="F142">
        <v>0.27675323586339701</v>
      </c>
    </row>
    <row r="143" spans="1:6" x14ac:dyDescent="0.25">
      <c r="A143">
        <v>2014</v>
      </c>
      <c r="B143">
        <v>8</v>
      </c>
      <c r="C143" t="s">
        <v>22</v>
      </c>
      <c r="D143">
        <v>57339541409</v>
      </c>
      <c r="E143">
        <v>6365295290.3999996</v>
      </c>
      <c r="F143">
        <v>0.42523920928435799</v>
      </c>
    </row>
    <row r="144" spans="1:6" x14ac:dyDescent="0.25">
      <c r="A144">
        <v>2015</v>
      </c>
      <c r="B144">
        <v>8</v>
      </c>
      <c r="C144" t="s">
        <v>22</v>
      </c>
      <c r="D144">
        <v>59331932620</v>
      </c>
      <c r="E144">
        <v>1992391211</v>
      </c>
      <c r="F144">
        <v>0.11834352184428901</v>
      </c>
    </row>
    <row r="145" spans="1:6" x14ac:dyDescent="0.25">
      <c r="A145">
        <v>2016</v>
      </c>
      <c r="B145">
        <v>7</v>
      </c>
      <c r="C145" t="s">
        <v>22</v>
      </c>
      <c r="D145">
        <v>63428267740</v>
      </c>
      <c r="E145">
        <v>4096335120</v>
      </c>
      <c r="F145">
        <v>0.23701164864389601</v>
      </c>
    </row>
    <row r="146" spans="1:6" x14ac:dyDescent="0.25">
      <c r="A146">
        <v>2017</v>
      </c>
      <c r="B146">
        <v>6</v>
      </c>
      <c r="C146" t="s">
        <v>22</v>
      </c>
      <c r="D146">
        <v>63900338520</v>
      </c>
      <c r="E146">
        <v>472070780</v>
      </c>
      <c r="F146">
        <v>2.6709416419774101E-2</v>
      </c>
    </row>
    <row r="147" spans="1:6" x14ac:dyDescent="0.25">
      <c r="A147">
        <v>2018</v>
      </c>
      <c r="B147">
        <v>7</v>
      </c>
      <c r="C147" t="s">
        <v>22</v>
      </c>
      <c r="D147">
        <v>60418971025</v>
      </c>
      <c r="E147">
        <v>-3481367495</v>
      </c>
      <c r="F147">
        <v>-0.20438655815260501</v>
      </c>
    </row>
    <row r="148" spans="1:6" x14ac:dyDescent="0.25">
      <c r="A148">
        <v>2019</v>
      </c>
      <c r="B148">
        <v>8</v>
      </c>
      <c r="C148" t="s">
        <v>22</v>
      </c>
      <c r="D148">
        <v>58769355011.599998</v>
      </c>
      <c r="E148">
        <v>-1649616013.4000001</v>
      </c>
      <c r="F148">
        <v>-8.5797257679726194E-2</v>
      </c>
    </row>
    <row r="149" spans="1:6" x14ac:dyDescent="0.25">
      <c r="A149">
        <v>2020</v>
      </c>
      <c r="B149">
        <v>7</v>
      </c>
      <c r="C149" t="s">
        <v>22</v>
      </c>
      <c r="D149">
        <v>68285832633.800003</v>
      </c>
      <c r="E149">
        <v>9516477622.2000008</v>
      </c>
      <c r="F149">
        <v>0.42927066216864002</v>
      </c>
    </row>
    <row r="150" spans="1:6" x14ac:dyDescent="0.25">
      <c r="A150">
        <v>2021</v>
      </c>
      <c r="B150">
        <v>7</v>
      </c>
      <c r="C150" t="s">
        <v>22</v>
      </c>
      <c r="D150">
        <v>78431668855</v>
      </c>
      <c r="E150">
        <v>10145836221.200001</v>
      </c>
      <c r="F150">
        <v>0.42051406652550999</v>
      </c>
    </row>
    <row r="151" spans="1:6" x14ac:dyDescent="0.25">
      <c r="A151">
        <v>2022</v>
      </c>
      <c r="B151">
        <v>7</v>
      </c>
      <c r="C151" t="s">
        <v>22</v>
      </c>
      <c r="D151">
        <v>80148768650</v>
      </c>
      <c r="E151">
        <v>1717099795</v>
      </c>
      <c r="F151">
        <v>6.4429556283154304E-2</v>
      </c>
    </row>
    <row r="152" spans="1:6" x14ac:dyDescent="0.25">
      <c r="A152">
        <v>2010</v>
      </c>
      <c r="B152">
        <v>3</v>
      </c>
      <c r="C152" t="s">
        <v>27</v>
      </c>
      <c r="D152">
        <v>99638308521.800003</v>
      </c>
      <c r="E152">
        <v>0</v>
      </c>
      <c r="F152">
        <v>0</v>
      </c>
    </row>
    <row r="153" spans="1:6" x14ac:dyDescent="0.25">
      <c r="A153">
        <v>2011</v>
      </c>
      <c r="B153">
        <v>3</v>
      </c>
      <c r="C153" t="s">
        <v>27</v>
      </c>
      <c r="D153">
        <v>106598484213</v>
      </c>
      <c r="E153">
        <v>6960175691.2000103</v>
      </c>
      <c r="F153">
        <v>0.57872573815872597</v>
      </c>
    </row>
    <row r="154" spans="1:6" x14ac:dyDescent="0.25">
      <c r="A154">
        <v>2012</v>
      </c>
      <c r="B154">
        <v>3</v>
      </c>
      <c r="C154" t="s">
        <v>27</v>
      </c>
      <c r="D154">
        <v>110076247861.2</v>
      </c>
      <c r="E154">
        <v>3477763648.1999998</v>
      </c>
      <c r="F154">
        <v>0.28319544422823401</v>
      </c>
    </row>
    <row r="155" spans="1:6" x14ac:dyDescent="0.25">
      <c r="A155">
        <v>2013</v>
      </c>
      <c r="B155">
        <v>3</v>
      </c>
      <c r="C155" t="s">
        <v>27</v>
      </c>
      <c r="D155">
        <v>115211795775.8</v>
      </c>
      <c r="E155">
        <v>5135547914.5999804</v>
      </c>
      <c r="F155">
        <v>0.37384033120597199</v>
      </c>
    </row>
    <row r="156" spans="1:6" x14ac:dyDescent="0.25">
      <c r="A156">
        <v>2014</v>
      </c>
      <c r="B156">
        <v>3</v>
      </c>
      <c r="C156" t="s">
        <v>27</v>
      </c>
      <c r="D156">
        <v>129991656221.89999</v>
      </c>
      <c r="E156">
        <v>14779860446.1</v>
      </c>
      <c r="F156">
        <v>0.98738171329012503</v>
      </c>
    </row>
    <row r="157" spans="1:6" x14ac:dyDescent="0.25">
      <c r="A157">
        <v>2015</v>
      </c>
      <c r="B157">
        <v>3</v>
      </c>
      <c r="C157" t="s">
        <v>27</v>
      </c>
      <c r="D157">
        <v>136787469456.5</v>
      </c>
      <c r="E157">
        <v>6795813234.6000204</v>
      </c>
      <c r="F157">
        <v>0.40365590228383802</v>
      </c>
    </row>
    <row r="158" spans="1:6" x14ac:dyDescent="0.25">
      <c r="A158">
        <v>2016</v>
      </c>
      <c r="B158">
        <v>3</v>
      </c>
      <c r="C158" t="s">
        <v>27</v>
      </c>
      <c r="D158">
        <v>136348053595.5</v>
      </c>
      <c r="E158">
        <v>-439415860.99998498</v>
      </c>
      <c r="F158">
        <v>-2.5424354845236301E-2</v>
      </c>
    </row>
    <row r="159" spans="1:6" x14ac:dyDescent="0.25">
      <c r="A159">
        <v>2017</v>
      </c>
      <c r="B159">
        <v>3</v>
      </c>
      <c r="C159" t="s">
        <v>27</v>
      </c>
      <c r="D159">
        <v>131360055521.8</v>
      </c>
      <c r="E159">
        <v>-4987998073.6999998</v>
      </c>
      <c r="F159">
        <v>-0.28221725066627601</v>
      </c>
    </row>
    <row r="160" spans="1:6" x14ac:dyDescent="0.25">
      <c r="A160">
        <v>2018</v>
      </c>
      <c r="B160">
        <v>4</v>
      </c>
      <c r="C160" t="s">
        <v>27</v>
      </c>
      <c r="D160">
        <v>126700324516.5</v>
      </c>
      <c r="E160">
        <v>-4659731005.3000202</v>
      </c>
      <c r="F160">
        <v>-0.27356674739397102</v>
      </c>
    </row>
    <row r="161" spans="1:6" x14ac:dyDescent="0.25">
      <c r="A161">
        <v>2019</v>
      </c>
      <c r="B161">
        <v>4</v>
      </c>
      <c r="C161" t="s">
        <v>27</v>
      </c>
      <c r="D161">
        <v>148812570784.20001</v>
      </c>
      <c r="E161">
        <v>22112246267.700001</v>
      </c>
      <c r="F161">
        <v>1.1500676978742399</v>
      </c>
    </row>
    <row r="162" spans="1:6" x14ac:dyDescent="0.25">
      <c r="A162">
        <v>2020</v>
      </c>
      <c r="B162">
        <v>4</v>
      </c>
      <c r="C162" t="s">
        <v>27</v>
      </c>
      <c r="D162">
        <v>163820910186</v>
      </c>
      <c r="E162">
        <v>15008339401.799999</v>
      </c>
      <c r="F162">
        <v>0.67699836523894097</v>
      </c>
    </row>
    <row r="163" spans="1:6" x14ac:dyDescent="0.25">
      <c r="A163">
        <v>2021</v>
      </c>
      <c r="B163">
        <v>3</v>
      </c>
      <c r="C163" t="s">
        <v>27</v>
      </c>
      <c r="D163">
        <v>204069845912</v>
      </c>
      <c r="E163">
        <v>40248935726</v>
      </c>
      <c r="F163">
        <v>1.6681960231230999</v>
      </c>
    </row>
    <row r="164" spans="1:6" x14ac:dyDescent="0.25">
      <c r="A164">
        <v>2022</v>
      </c>
      <c r="B164">
        <v>3</v>
      </c>
      <c r="C164" t="s">
        <v>27</v>
      </c>
      <c r="D164">
        <v>214869072595.5</v>
      </c>
      <c r="E164">
        <v>10799226683.5</v>
      </c>
      <c r="F164">
        <v>0.40521196580720997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9CAD-9BA0-4AC4-B316-7213D4C71CEE}">
  <dimension ref="A3:B14"/>
  <sheetViews>
    <sheetView workbookViewId="0">
      <selection activeCell="C18" sqref="C18"/>
    </sheetView>
  </sheetViews>
  <sheetFormatPr defaultRowHeight="15" x14ac:dyDescent="0.25"/>
  <cols>
    <col min="1" max="1" width="76.7109375" bestFit="1" customWidth="1"/>
    <col min="2" max="2" width="22.140625" bestFit="1" customWidth="1"/>
  </cols>
  <sheetData>
    <row r="3" spans="1:2" x14ac:dyDescent="0.25">
      <c r="A3" s="1" t="s">
        <v>31</v>
      </c>
      <c r="B3" t="s">
        <v>35</v>
      </c>
    </row>
    <row r="4" spans="1:2" x14ac:dyDescent="0.25">
      <c r="A4" s="2" t="s">
        <v>10</v>
      </c>
      <c r="B4">
        <v>8.117647058823529</v>
      </c>
    </row>
    <row r="5" spans="1:2" x14ac:dyDescent="0.25">
      <c r="A5" s="2" t="s">
        <v>8</v>
      </c>
      <c r="B5">
        <v>8</v>
      </c>
    </row>
    <row r="6" spans="1:2" x14ac:dyDescent="0.25">
      <c r="A6" s="2" t="s">
        <v>7</v>
      </c>
      <c r="B6">
        <v>7.5294117647058822</v>
      </c>
    </row>
    <row r="7" spans="1:2" x14ac:dyDescent="0.25">
      <c r="A7" s="2" t="s">
        <v>11</v>
      </c>
      <c r="B7">
        <v>6.9411764705882355</v>
      </c>
    </row>
    <row r="8" spans="1:2" x14ac:dyDescent="0.25">
      <c r="A8" s="2" t="s">
        <v>9</v>
      </c>
      <c r="B8">
        <v>5.3529411764705879</v>
      </c>
    </row>
    <row r="9" spans="1:2" x14ac:dyDescent="0.25">
      <c r="A9" s="2" t="s">
        <v>13</v>
      </c>
      <c r="B9">
        <v>5.1764705882352944</v>
      </c>
    </row>
    <row r="10" spans="1:2" x14ac:dyDescent="0.25">
      <c r="A10" s="2" t="s">
        <v>12</v>
      </c>
      <c r="B10">
        <v>4.0588235294117645</v>
      </c>
    </row>
    <row r="11" spans="1:2" x14ac:dyDescent="0.25">
      <c r="A11" s="2" t="s">
        <v>14</v>
      </c>
      <c r="B11">
        <v>2.5882352941176472</v>
      </c>
    </row>
    <row r="12" spans="1:2" x14ac:dyDescent="0.25">
      <c r="A12" s="2" t="s">
        <v>16</v>
      </c>
      <c r="B12">
        <v>2</v>
      </c>
    </row>
    <row r="13" spans="1:2" x14ac:dyDescent="0.25">
      <c r="A13" s="2" t="s">
        <v>15</v>
      </c>
      <c r="B13">
        <v>1.3076923076923077</v>
      </c>
    </row>
    <row r="14" spans="1:2" x14ac:dyDescent="0.25">
      <c r="A14" s="2" t="s">
        <v>32</v>
      </c>
      <c r="B14">
        <v>5.2777777777777777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BF4F-0447-4B0F-9C52-4532355FFD12}">
  <dimension ref="A1:F163"/>
  <sheetViews>
    <sheetView topLeftCell="A17" workbookViewId="0">
      <selection activeCell="B2" sqref="B2"/>
    </sheetView>
  </sheetViews>
  <sheetFormatPr defaultRowHeight="15" x14ac:dyDescent="0.25"/>
  <cols>
    <col min="2" max="2" width="14" customWidth="1"/>
    <col min="3" max="3" width="44.5703125" customWidth="1"/>
    <col min="4" max="4" width="18" customWidth="1"/>
    <col min="5" max="5" width="20.140625" customWidth="1"/>
    <col min="6" max="6" width="30" customWidth="1"/>
  </cols>
  <sheetData>
    <row r="1" spans="1:6" x14ac:dyDescent="0.25">
      <c r="A1" t="s">
        <v>0</v>
      </c>
      <c r="B1" t="s">
        <v>28</v>
      </c>
      <c r="C1" t="s">
        <v>6</v>
      </c>
      <c r="D1" t="s">
        <v>1</v>
      </c>
      <c r="E1" t="s">
        <v>29</v>
      </c>
      <c r="F1" t="s">
        <v>30</v>
      </c>
    </row>
    <row r="2" spans="1:6" x14ac:dyDescent="0.25">
      <c r="A2">
        <v>2006</v>
      </c>
      <c r="B2">
        <v>9</v>
      </c>
      <c r="C2" t="s">
        <v>7</v>
      </c>
      <c r="D2">
        <v>1285968500</v>
      </c>
      <c r="E2">
        <v>0</v>
      </c>
      <c r="F2">
        <v>0</v>
      </c>
    </row>
    <row r="3" spans="1:6" x14ac:dyDescent="0.25">
      <c r="A3">
        <v>2007</v>
      </c>
      <c r="B3">
        <v>9</v>
      </c>
      <c r="C3" t="s">
        <v>7</v>
      </c>
      <c r="D3">
        <v>938007950</v>
      </c>
      <c r="E3">
        <v>-347960550</v>
      </c>
      <c r="F3">
        <v>-5.0192145257819898E-2</v>
      </c>
    </row>
    <row r="4" spans="1:6" x14ac:dyDescent="0.25">
      <c r="A4">
        <v>2008</v>
      </c>
      <c r="B4">
        <v>9</v>
      </c>
      <c r="C4" t="s">
        <v>7</v>
      </c>
      <c r="D4">
        <v>1299686410</v>
      </c>
      <c r="E4">
        <v>361678460</v>
      </c>
      <c r="F4">
        <v>4.0354214241402397E-2</v>
      </c>
    </row>
    <row r="5" spans="1:6" x14ac:dyDescent="0.25">
      <c r="A5">
        <v>2009</v>
      </c>
      <c r="B5">
        <v>9</v>
      </c>
      <c r="C5" t="s">
        <v>7</v>
      </c>
      <c r="D5">
        <v>1549608870</v>
      </c>
      <c r="E5">
        <v>249922460</v>
      </c>
      <c r="F5">
        <v>2.6594322286252501E-2</v>
      </c>
    </row>
    <row r="6" spans="1:6" x14ac:dyDescent="0.25">
      <c r="A6">
        <v>2010</v>
      </c>
      <c r="B6">
        <v>9</v>
      </c>
      <c r="C6" t="s">
        <v>7</v>
      </c>
      <c r="D6">
        <v>29873049760</v>
      </c>
      <c r="E6">
        <v>28323440890</v>
      </c>
      <c r="F6">
        <v>2.4547188235558601</v>
      </c>
    </row>
    <row r="7" spans="1:6" x14ac:dyDescent="0.25">
      <c r="A7">
        <v>2011</v>
      </c>
      <c r="B7">
        <v>8</v>
      </c>
      <c r="C7" t="s">
        <v>7</v>
      </c>
      <c r="D7">
        <v>30088374460</v>
      </c>
      <c r="E7">
        <v>215324700</v>
      </c>
      <c r="F7">
        <v>1.79038506325149E-2</v>
      </c>
    </row>
    <row r="8" spans="1:6" x14ac:dyDescent="0.25">
      <c r="A8">
        <v>2012</v>
      </c>
      <c r="B8">
        <v>8</v>
      </c>
      <c r="C8" t="s">
        <v>7</v>
      </c>
      <c r="D8">
        <v>33194078750</v>
      </c>
      <c r="E8">
        <v>3105704290</v>
      </c>
      <c r="F8">
        <v>0.25289852762228399</v>
      </c>
    </row>
    <row r="9" spans="1:6" x14ac:dyDescent="0.25">
      <c r="A9">
        <v>2013</v>
      </c>
      <c r="B9">
        <v>8</v>
      </c>
      <c r="C9" t="s">
        <v>7</v>
      </c>
      <c r="D9">
        <v>37464198310</v>
      </c>
      <c r="E9">
        <v>4270119560</v>
      </c>
      <c r="F9">
        <v>0.310841790816754</v>
      </c>
    </row>
    <row r="10" spans="1:6" x14ac:dyDescent="0.25">
      <c r="A10">
        <v>2014</v>
      </c>
      <c r="B10">
        <v>9</v>
      </c>
      <c r="C10" t="s">
        <v>7</v>
      </c>
      <c r="D10">
        <v>39280584500</v>
      </c>
      <c r="E10">
        <v>1816386190</v>
      </c>
      <c r="F10">
        <v>0.121345293808371</v>
      </c>
    </row>
    <row r="11" spans="1:6" x14ac:dyDescent="0.25">
      <c r="A11">
        <v>2015</v>
      </c>
      <c r="B11">
        <v>7</v>
      </c>
      <c r="C11" t="s">
        <v>7</v>
      </c>
      <c r="D11">
        <v>57107392230</v>
      </c>
      <c r="E11">
        <v>17826807730</v>
      </c>
      <c r="F11">
        <v>1.0588719717099699</v>
      </c>
    </row>
    <row r="12" spans="1:6" x14ac:dyDescent="0.25">
      <c r="A12">
        <v>2016</v>
      </c>
      <c r="B12">
        <v>9</v>
      </c>
      <c r="C12" t="s">
        <v>7</v>
      </c>
      <c r="D12">
        <v>45053062200</v>
      </c>
      <c r="E12">
        <v>-12054330030</v>
      </c>
      <c r="F12">
        <v>-0.69745676318297101</v>
      </c>
    </row>
    <row r="13" spans="1:6" x14ac:dyDescent="0.25">
      <c r="A13">
        <v>2017</v>
      </c>
      <c r="B13">
        <v>9</v>
      </c>
      <c r="C13" t="s">
        <v>7</v>
      </c>
      <c r="D13">
        <v>40373342690</v>
      </c>
      <c r="E13">
        <v>-4679719510</v>
      </c>
      <c r="F13">
        <v>-0.26477507699233399</v>
      </c>
    </row>
    <row r="14" spans="1:6" x14ac:dyDescent="0.25">
      <c r="A14">
        <v>2018</v>
      </c>
      <c r="B14">
        <v>8</v>
      </c>
      <c r="C14" t="s">
        <v>7</v>
      </c>
      <c r="D14">
        <v>41502202230</v>
      </c>
      <c r="E14">
        <v>1128859540</v>
      </c>
      <c r="F14">
        <v>6.6273875524402906E-2</v>
      </c>
    </row>
    <row r="15" spans="1:6" x14ac:dyDescent="0.25">
      <c r="A15">
        <v>2019</v>
      </c>
      <c r="B15">
        <v>5</v>
      </c>
      <c r="C15" t="s">
        <v>7</v>
      </c>
      <c r="D15">
        <v>140057887490</v>
      </c>
      <c r="E15">
        <v>98555685260</v>
      </c>
      <c r="F15">
        <v>5.1259247336148599</v>
      </c>
    </row>
    <row r="16" spans="1:6" x14ac:dyDescent="0.25">
      <c r="A16">
        <v>2020</v>
      </c>
      <c r="B16">
        <v>4</v>
      </c>
      <c r="C16" t="s">
        <v>7</v>
      </c>
      <c r="D16">
        <v>179715774350</v>
      </c>
      <c r="E16">
        <v>39657886860</v>
      </c>
      <c r="F16">
        <v>1.7888937512854299</v>
      </c>
    </row>
    <row r="17" spans="1:6" x14ac:dyDescent="0.25">
      <c r="A17">
        <v>2021</v>
      </c>
      <c r="B17">
        <v>4</v>
      </c>
      <c r="C17" t="s">
        <v>7</v>
      </c>
      <c r="D17">
        <v>203437886430</v>
      </c>
      <c r="E17">
        <v>23722112080</v>
      </c>
      <c r="F17">
        <v>0.98320942698549296</v>
      </c>
    </row>
    <row r="18" spans="1:6" x14ac:dyDescent="0.25">
      <c r="A18">
        <v>2022</v>
      </c>
      <c r="B18">
        <v>4</v>
      </c>
      <c r="C18" t="s">
        <v>7</v>
      </c>
      <c r="D18">
        <v>277589193540</v>
      </c>
      <c r="E18">
        <v>74151307110</v>
      </c>
      <c r="F18">
        <v>2.7823285686858998</v>
      </c>
    </row>
    <row r="19" spans="1:6" x14ac:dyDescent="0.25">
      <c r="A19">
        <v>2006</v>
      </c>
      <c r="B19">
        <v>3</v>
      </c>
      <c r="C19" t="s">
        <v>13</v>
      </c>
      <c r="D19">
        <v>39115108700</v>
      </c>
      <c r="E19">
        <v>0</v>
      </c>
      <c r="F19">
        <v>0</v>
      </c>
    </row>
    <row r="20" spans="1:6" x14ac:dyDescent="0.25">
      <c r="A20">
        <v>2007</v>
      </c>
      <c r="B20">
        <v>4</v>
      </c>
      <c r="C20" t="s">
        <v>13</v>
      </c>
      <c r="D20">
        <v>45845146200</v>
      </c>
      <c r="E20">
        <v>6730037500</v>
      </c>
      <c r="F20">
        <v>0.97078539446662904</v>
      </c>
    </row>
    <row r="21" spans="1:6" x14ac:dyDescent="0.25">
      <c r="A21">
        <v>2008</v>
      </c>
      <c r="B21">
        <v>4</v>
      </c>
      <c r="C21" t="s">
        <v>13</v>
      </c>
      <c r="D21">
        <v>49687632600</v>
      </c>
      <c r="E21">
        <v>3842486400</v>
      </c>
      <c r="F21">
        <v>0.42872478334837799</v>
      </c>
    </row>
    <row r="22" spans="1:6" x14ac:dyDescent="0.25">
      <c r="A22">
        <v>2009</v>
      </c>
      <c r="B22">
        <v>4</v>
      </c>
      <c r="C22" t="s">
        <v>13</v>
      </c>
      <c r="D22">
        <v>56132423470</v>
      </c>
      <c r="E22">
        <v>6444790870</v>
      </c>
      <c r="F22">
        <v>0.68579208713085604</v>
      </c>
    </row>
    <row r="23" spans="1:6" x14ac:dyDescent="0.25">
      <c r="A23">
        <v>2010</v>
      </c>
      <c r="B23">
        <v>5</v>
      </c>
      <c r="C23" t="s">
        <v>13</v>
      </c>
      <c r="D23">
        <v>56702249200</v>
      </c>
      <c r="E23">
        <v>569825730</v>
      </c>
      <c r="F23">
        <v>4.9385311304860201E-2</v>
      </c>
    </row>
    <row r="24" spans="1:6" x14ac:dyDescent="0.25">
      <c r="A24">
        <v>2011</v>
      </c>
      <c r="B24">
        <v>5</v>
      </c>
      <c r="C24" t="s">
        <v>13</v>
      </c>
      <c r="D24">
        <v>63736067540</v>
      </c>
      <c r="E24">
        <v>7033818340</v>
      </c>
      <c r="F24">
        <v>0.58484898822849396</v>
      </c>
    </row>
    <row r="25" spans="1:6" x14ac:dyDescent="0.25">
      <c r="A25">
        <v>2012</v>
      </c>
      <c r="B25">
        <v>5</v>
      </c>
      <c r="C25" t="s">
        <v>13</v>
      </c>
      <c r="D25">
        <v>64849228710</v>
      </c>
      <c r="E25">
        <v>1113161170</v>
      </c>
      <c r="F25">
        <v>9.06450822783577E-2</v>
      </c>
    </row>
    <row r="26" spans="1:6" x14ac:dyDescent="0.25">
      <c r="A26">
        <v>2013</v>
      </c>
      <c r="B26">
        <v>5</v>
      </c>
      <c r="C26" t="s">
        <v>13</v>
      </c>
      <c r="D26">
        <v>64088455090</v>
      </c>
      <c r="E26">
        <v>-760773620</v>
      </c>
      <c r="F26">
        <v>-5.5380237280041003E-2</v>
      </c>
    </row>
    <row r="27" spans="1:6" x14ac:dyDescent="0.25">
      <c r="A27">
        <v>2014</v>
      </c>
      <c r="B27">
        <v>5</v>
      </c>
      <c r="C27" t="s">
        <v>13</v>
      </c>
      <c r="D27">
        <v>74463845130</v>
      </c>
      <c r="E27">
        <v>10375390040</v>
      </c>
      <c r="F27">
        <v>0.69313715316248004</v>
      </c>
    </row>
    <row r="28" spans="1:6" x14ac:dyDescent="0.25">
      <c r="A28">
        <v>2015</v>
      </c>
      <c r="B28">
        <v>5</v>
      </c>
      <c r="C28" t="s">
        <v>13</v>
      </c>
      <c r="D28">
        <v>83596474220</v>
      </c>
      <c r="E28">
        <v>9132629090</v>
      </c>
      <c r="F28">
        <v>0.54245746730921596</v>
      </c>
    </row>
    <row r="29" spans="1:6" x14ac:dyDescent="0.25">
      <c r="A29">
        <v>2016</v>
      </c>
      <c r="B29">
        <v>5</v>
      </c>
      <c r="C29" t="s">
        <v>13</v>
      </c>
      <c r="D29">
        <v>86339966290</v>
      </c>
      <c r="E29">
        <v>2743492070</v>
      </c>
      <c r="F29">
        <v>0.15873690982395899</v>
      </c>
    </row>
    <row r="30" spans="1:6" x14ac:dyDescent="0.25">
      <c r="A30">
        <v>2017</v>
      </c>
      <c r="B30">
        <v>5</v>
      </c>
      <c r="C30" t="s">
        <v>13</v>
      </c>
      <c r="D30">
        <v>80967103950</v>
      </c>
      <c r="E30">
        <v>-5372862340</v>
      </c>
      <c r="F30">
        <v>-0.30399258688534397</v>
      </c>
    </row>
    <row r="31" spans="1:6" x14ac:dyDescent="0.25">
      <c r="A31">
        <v>2018</v>
      </c>
      <c r="B31">
        <v>5</v>
      </c>
      <c r="C31" t="s">
        <v>13</v>
      </c>
      <c r="D31">
        <v>79881801240</v>
      </c>
      <c r="E31">
        <v>-1085302710</v>
      </c>
      <c r="F31">
        <v>-6.3716710680265104E-2</v>
      </c>
    </row>
    <row r="32" spans="1:6" x14ac:dyDescent="0.25">
      <c r="A32">
        <v>2019</v>
      </c>
      <c r="B32">
        <v>7</v>
      </c>
      <c r="C32" t="s">
        <v>13</v>
      </c>
      <c r="D32">
        <v>97595589170</v>
      </c>
      <c r="E32">
        <v>17713787930</v>
      </c>
      <c r="F32">
        <v>0.92130193643174296</v>
      </c>
    </row>
    <row r="33" spans="1:6" x14ac:dyDescent="0.25">
      <c r="A33">
        <v>2020</v>
      </c>
      <c r="B33">
        <v>7</v>
      </c>
      <c r="C33" t="s">
        <v>13</v>
      </c>
      <c r="D33">
        <v>141778936300</v>
      </c>
      <c r="E33">
        <v>44183347130</v>
      </c>
      <c r="F33">
        <v>1.99302887394772</v>
      </c>
    </row>
    <row r="34" spans="1:6" x14ac:dyDescent="0.25">
      <c r="A34">
        <v>2021</v>
      </c>
      <c r="B34">
        <v>7</v>
      </c>
      <c r="C34" t="s">
        <v>13</v>
      </c>
      <c r="D34">
        <v>157909736290</v>
      </c>
      <c r="E34">
        <v>16130799990</v>
      </c>
      <c r="F34">
        <v>0.66857261956691305</v>
      </c>
    </row>
    <row r="35" spans="1:6" x14ac:dyDescent="0.25">
      <c r="A35">
        <v>2022</v>
      </c>
      <c r="B35">
        <v>7</v>
      </c>
      <c r="C35" t="s">
        <v>13</v>
      </c>
      <c r="D35">
        <v>141376630510</v>
      </c>
      <c r="E35">
        <v>-16533105780</v>
      </c>
      <c r="F35">
        <v>-0.62036037304858804</v>
      </c>
    </row>
    <row r="36" spans="1:6" x14ac:dyDescent="0.25">
      <c r="A36">
        <v>2006</v>
      </c>
      <c r="B36">
        <v>8</v>
      </c>
      <c r="C36" t="s">
        <v>10</v>
      </c>
      <c r="D36">
        <v>11682757500</v>
      </c>
      <c r="E36">
        <v>0</v>
      </c>
      <c r="F36">
        <v>0</v>
      </c>
    </row>
    <row r="37" spans="1:6" x14ac:dyDescent="0.25">
      <c r="A37">
        <v>2007</v>
      </c>
      <c r="B37">
        <v>8</v>
      </c>
      <c r="C37" t="s">
        <v>10</v>
      </c>
      <c r="D37">
        <v>12691628000</v>
      </c>
      <c r="E37">
        <v>1008870500</v>
      </c>
      <c r="F37">
        <v>0.14552619451351401</v>
      </c>
    </row>
    <row r="38" spans="1:6" x14ac:dyDescent="0.25">
      <c r="A38">
        <v>2008</v>
      </c>
      <c r="B38">
        <v>8</v>
      </c>
      <c r="C38" t="s">
        <v>10</v>
      </c>
      <c r="D38">
        <v>19022240600</v>
      </c>
      <c r="E38">
        <v>6330612600</v>
      </c>
      <c r="F38">
        <v>0.70633705181038897</v>
      </c>
    </row>
    <row r="39" spans="1:6" x14ac:dyDescent="0.25">
      <c r="A39">
        <v>2009</v>
      </c>
      <c r="B39">
        <v>8</v>
      </c>
      <c r="C39" t="s">
        <v>10</v>
      </c>
      <c r="D39">
        <v>19043723030</v>
      </c>
      <c r="E39">
        <v>21482430</v>
      </c>
      <c r="F39">
        <v>2.2859516784200199E-3</v>
      </c>
    </row>
    <row r="40" spans="1:6" x14ac:dyDescent="0.25">
      <c r="A40">
        <v>2010</v>
      </c>
      <c r="B40">
        <v>10</v>
      </c>
      <c r="C40" t="s">
        <v>10</v>
      </c>
      <c r="D40">
        <v>20140555980</v>
      </c>
      <c r="E40">
        <v>1096832950</v>
      </c>
      <c r="F40">
        <v>9.5059653914150499E-2</v>
      </c>
    </row>
    <row r="41" spans="1:6" x14ac:dyDescent="0.25">
      <c r="A41">
        <v>2011</v>
      </c>
      <c r="B41">
        <v>9</v>
      </c>
      <c r="C41" t="s">
        <v>10</v>
      </c>
      <c r="D41">
        <v>28479873480</v>
      </c>
      <c r="E41">
        <v>8339317500</v>
      </c>
      <c r="F41">
        <v>0.69339882928952201</v>
      </c>
    </row>
    <row r="42" spans="1:6" x14ac:dyDescent="0.25">
      <c r="A42">
        <v>2012</v>
      </c>
      <c r="B42">
        <v>9</v>
      </c>
      <c r="C42" t="s">
        <v>10</v>
      </c>
      <c r="D42">
        <v>30961960970</v>
      </c>
      <c r="E42">
        <v>2482087490</v>
      </c>
      <c r="F42">
        <v>0.20211720532178901</v>
      </c>
    </row>
    <row r="43" spans="1:6" x14ac:dyDescent="0.25">
      <c r="A43">
        <v>2013</v>
      </c>
      <c r="B43">
        <v>9</v>
      </c>
      <c r="C43" t="s">
        <v>10</v>
      </c>
      <c r="D43">
        <v>32899760720</v>
      </c>
      <c r="E43">
        <v>1937799750</v>
      </c>
      <c r="F43">
        <v>0.14106142370736299</v>
      </c>
    </row>
    <row r="44" spans="1:6" x14ac:dyDescent="0.25">
      <c r="A44">
        <v>2014</v>
      </c>
      <c r="B44">
        <v>10</v>
      </c>
      <c r="C44" t="s">
        <v>10</v>
      </c>
      <c r="D44">
        <v>37442485240</v>
      </c>
      <c r="E44">
        <v>4542724520</v>
      </c>
      <c r="F44">
        <v>0.30348074908557299</v>
      </c>
    </row>
    <row r="45" spans="1:6" x14ac:dyDescent="0.25">
      <c r="A45">
        <v>2015</v>
      </c>
      <c r="B45">
        <v>10</v>
      </c>
      <c r="C45" t="s">
        <v>10</v>
      </c>
      <c r="D45">
        <v>40806237430</v>
      </c>
      <c r="E45">
        <v>3363752190</v>
      </c>
      <c r="F45">
        <v>0.19979925557704101</v>
      </c>
    </row>
    <row r="46" spans="1:6" x14ac:dyDescent="0.25">
      <c r="A46">
        <v>2016</v>
      </c>
      <c r="B46">
        <v>10</v>
      </c>
      <c r="C46" t="s">
        <v>10</v>
      </c>
      <c r="D46">
        <v>40500578770</v>
      </c>
      <c r="E46">
        <v>-305658660</v>
      </c>
      <c r="F46">
        <v>-1.76852383427272E-2</v>
      </c>
    </row>
    <row r="47" spans="1:6" x14ac:dyDescent="0.25">
      <c r="A47">
        <v>2017</v>
      </c>
      <c r="B47">
        <v>8</v>
      </c>
      <c r="C47" t="s">
        <v>10</v>
      </c>
      <c r="D47">
        <v>41438186130</v>
      </c>
      <c r="E47">
        <v>937607360</v>
      </c>
      <c r="F47">
        <v>5.3049132624741299E-2</v>
      </c>
    </row>
    <row r="48" spans="1:6" x14ac:dyDescent="0.25">
      <c r="A48">
        <v>2018</v>
      </c>
      <c r="B48">
        <v>9</v>
      </c>
      <c r="C48" t="s">
        <v>10</v>
      </c>
      <c r="D48">
        <v>38040704610</v>
      </c>
      <c r="E48">
        <v>-3397481520</v>
      </c>
      <c r="F48">
        <v>-0.19946172165311099</v>
      </c>
    </row>
    <row r="49" spans="1:6" x14ac:dyDescent="0.25">
      <c r="A49">
        <v>2019</v>
      </c>
      <c r="B49">
        <v>6</v>
      </c>
      <c r="C49" t="s">
        <v>10</v>
      </c>
      <c r="D49">
        <v>134875641900</v>
      </c>
      <c r="E49">
        <v>96834937290</v>
      </c>
      <c r="F49">
        <v>5.0364278714453103</v>
      </c>
    </row>
    <row r="50" spans="1:6" x14ac:dyDescent="0.25">
      <c r="A50">
        <v>2020</v>
      </c>
      <c r="B50">
        <v>5</v>
      </c>
      <c r="C50" t="s">
        <v>10</v>
      </c>
      <c r="D50">
        <v>170900564270</v>
      </c>
      <c r="E50">
        <v>36024922370</v>
      </c>
      <c r="F50">
        <v>1.6250174585887001</v>
      </c>
    </row>
    <row r="51" spans="1:6" x14ac:dyDescent="0.25">
      <c r="A51">
        <v>2021</v>
      </c>
      <c r="B51">
        <v>6</v>
      </c>
      <c r="C51" t="s">
        <v>10</v>
      </c>
      <c r="D51">
        <v>174809458370</v>
      </c>
      <c r="E51">
        <v>3908894100</v>
      </c>
      <c r="F51">
        <v>0.16201177682859899</v>
      </c>
    </row>
    <row r="52" spans="1:6" x14ac:dyDescent="0.25">
      <c r="A52">
        <v>2022</v>
      </c>
      <c r="B52">
        <v>5</v>
      </c>
      <c r="C52" t="s">
        <v>10</v>
      </c>
      <c r="D52">
        <v>226543270090</v>
      </c>
      <c r="E52">
        <v>51733811720</v>
      </c>
      <c r="F52">
        <v>1.94117228577029</v>
      </c>
    </row>
    <row r="53" spans="1:6" x14ac:dyDescent="0.25">
      <c r="A53">
        <v>2006</v>
      </c>
      <c r="B53">
        <v>2</v>
      </c>
      <c r="C53" t="s">
        <v>14</v>
      </c>
      <c r="D53">
        <v>79316802720</v>
      </c>
      <c r="E53">
        <v>0</v>
      </c>
      <c r="F53">
        <v>0</v>
      </c>
    </row>
    <row r="54" spans="1:6" x14ac:dyDescent="0.25">
      <c r="A54">
        <v>2007</v>
      </c>
      <c r="B54">
        <v>2</v>
      </c>
      <c r="C54" t="s">
        <v>14</v>
      </c>
      <c r="D54">
        <v>101196357600</v>
      </c>
      <c r="E54">
        <v>21879554880</v>
      </c>
      <c r="F54">
        <v>3.15605259479387</v>
      </c>
    </row>
    <row r="55" spans="1:6" x14ac:dyDescent="0.25">
      <c r="A55">
        <v>2008</v>
      </c>
      <c r="B55">
        <v>1</v>
      </c>
      <c r="C55" t="s">
        <v>14</v>
      </c>
      <c r="D55">
        <v>194994568300</v>
      </c>
      <c r="E55">
        <v>93798210700</v>
      </c>
      <c r="F55">
        <v>10.465519815717</v>
      </c>
    </row>
    <row r="56" spans="1:6" x14ac:dyDescent="0.25">
      <c r="A56">
        <v>2009</v>
      </c>
      <c r="B56">
        <v>2</v>
      </c>
      <c r="C56" t="s">
        <v>14</v>
      </c>
      <c r="D56">
        <v>129735043100</v>
      </c>
      <c r="E56">
        <v>-65259525200</v>
      </c>
      <c r="F56">
        <v>-6.94428522117067</v>
      </c>
    </row>
    <row r="57" spans="1:6" x14ac:dyDescent="0.25">
      <c r="A57">
        <v>2010</v>
      </c>
      <c r="B57">
        <v>3</v>
      </c>
      <c r="C57" t="s">
        <v>14</v>
      </c>
      <c r="D57">
        <v>146689954980</v>
      </c>
      <c r="E57">
        <v>16954911880</v>
      </c>
      <c r="F57">
        <v>1.4694380356258601</v>
      </c>
    </row>
    <row r="58" spans="1:6" x14ac:dyDescent="0.25">
      <c r="A58">
        <v>2011</v>
      </c>
      <c r="B58">
        <v>3</v>
      </c>
      <c r="C58" t="s">
        <v>14</v>
      </c>
      <c r="D58">
        <v>143056014570</v>
      </c>
      <c r="E58">
        <v>-3633940410</v>
      </c>
      <c r="F58">
        <v>-0.302155425309312</v>
      </c>
    </row>
    <row r="59" spans="1:6" x14ac:dyDescent="0.25">
      <c r="A59">
        <v>2012</v>
      </c>
      <c r="B59">
        <v>3</v>
      </c>
      <c r="C59" t="s">
        <v>14</v>
      </c>
      <c r="D59">
        <v>151583935930</v>
      </c>
      <c r="E59">
        <v>8527921360</v>
      </c>
      <c r="F59">
        <v>0.694431457163175</v>
      </c>
    </row>
    <row r="60" spans="1:6" x14ac:dyDescent="0.25">
      <c r="A60">
        <v>2013</v>
      </c>
      <c r="B60">
        <v>3</v>
      </c>
      <c r="C60" t="s">
        <v>14</v>
      </c>
      <c r="D60">
        <v>182438694330</v>
      </c>
      <c r="E60">
        <v>30854758400</v>
      </c>
      <c r="F60">
        <v>2.2460608471286601</v>
      </c>
    </row>
    <row r="61" spans="1:6" x14ac:dyDescent="0.25">
      <c r="A61">
        <v>2014</v>
      </c>
      <c r="B61">
        <v>3</v>
      </c>
      <c r="C61" t="s">
        <v>14</v>
      </c>
      <c r="D61">
        <v>188839700380</v>
      </c>
      <c r="E61">
        <v>6401006050</v>
      </c>
      <c r="F61">
        <v>0.42762489831879302</v>
      </c>
    </row>
    <row r="62" spans="1:6" x14ac:dyDescent="0.25">
      <c r="A62">
        <v>2015</v>
      </c>
      <c r="B62">
        <v>4</v>
      </c>
      <c r="C62" t="s">
        <v>14</v>
      </c>
      <c r="D62">
        <v>201036530800</v>
      </c>
      <c r="E62">
        <v>12196830420</v>
      </c>
      <c r="F62">
        <v>0.72446408078456204</v>
      </c>
    </row>
    <row r="63" spans="1:6" x14ac:dyDescent="0.25">
      <c r="A63">
        <v>2016</v>
      </c>
      <c r="B63">
        <v>3</v>
      </c>
      <c r="C63" t="s">
        <v>14</v>
      </c>
      <c r="D63">
        <v>223576317440</v>
      </c>
      <c r="E63">
        <v>22539786640</v>
      </c>
      <c r="F63">
        <v>1.3041393917077899</v>
      </c>
    </row>
    <row r="64" spans="1:6" x14ac:dyDescent="0.25">
      <c r="A64">
        <v>2017</v>
      </c>
      <c r="B64">
        <v>2</v>
      </c>
      <c r="C64" t="s">
        <v>14</v>
      </c>
      <c r="D64">
        <v>294718568010</v>
      </c>
      <c r="E64">
        <v>71142250570</v>
      </c>
      <c r="F64">
        <v>4.02517604566426</v>
      </c>
    </row>
    <row r="65" spans="1:6" x14ac:dyDescent="0.25">
      <c r="A65">
        <v>2018</v>
      </c>
      <c r="B65">
        <v>3</v>
      </c>
      <c r="C65" t="s">
        <v>14</v>
      </c>
      <c r="D65">
        <v>240878490340</v>
      </c>
      <c r="E65">
        <v>-53840077670</v>
      </c>
      <c r="F65">
        <v>-3.16088094159683</v>
      </c>
    </row>
    <row r="66" spans="1:6" x14ac:dyDescent="0.25">
      <c r="A66">
        <v>2019</v>
      </c>
      <c r="B66">
        <v>2</v>
      </c>
      <c r="C66" t="s">
        <v>14</v>
      </c>
      <c r="D66">
        <v>307424051760</v>
      </c>
      <c r="E66">
        <v>66545561420</v>
      </c>
      <c r="F66">
        <v>3.4610640501883601</v>
      </c>
    </row>
    <row r="67" spans="1:6" x14ac:dyDescent="0.25">
      <c r="A67">
        <v>2020</v>
      </c>
      <c r="B67">
        <v>2</v>
      </c>
      <c r="C67" t="s">
        <v>14</v>
      </c>
      <c r="D67">
        <v>387465583960</v>
      </c>
      <c r="E67">
        <v>80041532200</v>
      </c>
      <c r="F67">
        <v>3.61052512206121</v>
      </c>
    </row>
    <row r="68" spans="1:6" x14ac:dyDescent="0.25">
      <c r="A68">
        <v>2021</v>
      </c>
      <c r="B68">
        <v>3</v>
      </c>
      <c r="C68" t="s">
        <v>14</v>
      </c>
      <c r="D68">
        <v>336797012060</v>
      </c>
      <c r="E68">
        <v>-50668571900</v>
      </c>
      <c r="F68">
        <v>-2.1000582652998001</v>
      </c>
    </row>
    <row r="69" spans="1:6" x14ac:dyDescent="0.25">
      <c r="A69">
        <v>2022</v>
      </c>
      <c r="B69">
        <v>3</v>
      </c>
      <c r="C69" t="s">
        <v>14</v>
      </c>
      <c r="D69">
        <v>373915356060</v>
      </c>
      <c r="E69">
        <v>37118344000</v>
      </c>
      <c r="F69">
        <v>1.3927661285903801</v>
      </c>
    </row>
    <row r="70" spans="1:6" x14ac:dyDescent="0.25">
      <c r="A70">
        <v>2006</v>
      </c>
      <c r="B70">
        <v>5</v>
      </c>
      <c r="C70" t="s">
        <v>9</v>
      </c>
      <c r="D70">
        <v>32572287180</v>
      </c>
      <c r="E70">
        <v>0</v>
      </c>
      <c r="F70">
        <v>0</v>
      </c>
    </row>
    <row r="71" spans="1:6" x14ac:dyDescent="0.25">
      <c r="A71">
        <v>2007</v>
      </c>
      <c r="B71">
        <v>5</v>
      </c>
      <c r="C71" t="s">
        <v>9</v>
      </c>
      <c r="D71">
        <v>36023650100</v>
      </c>
      <c r="E71">
        <v>3451362920</v>
      </c>
      <c r="F71">
        <v>0.49784755489693699</v>
      </c>
    </row>
    <row r="72" spans="1:6" x14ac:dyDescent="0.25">
      <c r="A72">
        <v>2008</v>
      </c>
      <c r="B72">
        <v>5</v>
      </c>
      <c r="C72" t="s">
        <v>9</v>
      </c>
      <c r="D72">
        <v>42672732370</v>
      </c>
      <c r="E72">
        <v>6649082270</v>
      </c>
      <c r="F72">
        <v>0.74187025246759297</v>
      </c>
    </row>
    <row r="73" spans="1:6" x14ac:dyDescent="0.25">
      <c r="A73">
        <v>2009</v>
      </c>
      <c r="B73">
        <v>5</v>
      </c>
      <c r="C73" t="s">
        <v>9</v>
      </c>
      <c r="D73">
        <v>51852810750</v>
      </c>
      <c r="E73">
        <v>9180078380</v>
      </c>
      <c r="F73">
        <v>0.97685483349827396</v>
      </c>
    </row>
    <row r="74" spans="1:6" x14ac:dyDescent="0.25">
      <c r="A74">
        <v>2010</v>
      </c>
      <c r="B74">
        <v>6</v>
      </c>
      <c r="C74" t="s">
        <v>9</v>
      </c>
      <c r="D74">
        <v>54227575250</v>
      </c>
      <c r="E74">
        <v>2374764500</v>
      </c>
      <c r="F74">
        <v>0.20581465162731499</v>
      </c>
    </row>
    <row r="75" spans="1:6" x14ac:dyDescent="0.25">
      <c r="A75">
        <v>2011</v>
      </c>
      <c r="B75">
        <v>6</v>
      </c>
      <c r="C75" t="s">
        <v>9</v>
      </c>
      <c r="D75">
        <v>51233094980</v>
      </c>
      <c r="E75">
        <v>-2994480270</v>
      </c>
      <c r="F75">
        <v>-0.248985497140332</v>
      </c>
    </row>
    <row r="76" spans="1:6" x14ac:dyDescent="0.25">
      <c r="A76">
        <v>2012</v>
      </c>
      <c r="B76">
        <v>6</v>
      </c>
      <c r="C76" t="s">
        <v>9</v>
      </c>
      <c r="D76">
        <v>54643719990</v>
      </c>
      <c r="E76">
        <v>3410625010</v>
      </c>
      <c r="F76">
        <v>0.27772832271186298</v>
      </c>
    </row>
    <row r="77" spans="1:6" x14ac:dyDescent="0.25">
      <c r="A77">
        <v>2013</v>
      </c>
      <c r="B77">
        <v>6</v>
      </c>
      <c r="C77" t="s">
        <v>9</v>
      </c>
      <c r="D77">
        <v>55046544480</v>
      </c>
      <c r="E77">
        <v>402824490</v>
      </c>
      <c r="F77">
        <v>2.9323461345060201E-2</v>
      </c>
    </row>
    <row r="78" spans="1:6" x14ac:dyDescent="0.25">
      <c r="A78">
        <v>2014</v>
      </c>
      <c r="B78">
        <v>7</v>
      </c>
      <c r="C78" t="s">
        <v>9</v>
      </c>
      <c r="D78">
        <v>53197845670</v>
      </c>
      <c r="E78">
        <v>-1848698810</v>
      </c>
      <c r="F78">
        <v>-0.123503967106596</v>
      </c>
    </row>
    <row r="79" spans="1:6" x14ac:dyDescent="0.25">
      <c r="A79">
        <v>2015</v>
      </c>
      <c r="B79">
        <v>9</v>
      </c>
      <c r="C79" t="s">
        <v>9</v>
      </c>
      <c r="D79">
        <v>54162385430</v>
      </c>
      <c r="E79">
        <v>964539760</v>
      </c>
      <c r="F79">
        <v>5.7291475452731798E-2</v>
      </c>
    </row>
    <row r="80" spans="1:6" x14ac:dyDescent="0.25">
      <c r="A80">
        <v>2016</v>
      </c>
      <c r="B80">
        <v>7</v>
      </c>
      <c r="C80" t="s">
        <v>9</v>
      </c>
      <c r="D80">
        <v>51178748570</v>
      </c>
      <c r="E80">
        <v>-2983636860</v>
      </c>
      <c r="F80">
        <v>-0.17263155245542899</v>
      </c>
    </row>
    <row r="81" spans="1:6" x14ac:dyDescent="0.25">
      <c r="A81">
        <v>2017</v>
      </c>
      <c r="B81">
        <v>10</v>
      </c>
      <c r="C81" t="s">
        <v>9</v>
      </c>
      <c r="D81">
        <v>10831380830</v>
      </c>
      <c r="E81">
        <v>-40347367740</v>
      </c>
      <c r="F81">
        <v>-2.2828242968340899</v>
      </c>
    </row>
    <row r="82" spans="1:6" x14ac:dyDescent="0.25">
      <c r="A82">
        <v>2018</v>
      </c>
      <c r="B82">
        <v>10</v>
      </c>
      <c r="C82" t="s">
        <v>9</v>
      </c>
      <c r="D82">
        <v>10175092390</v>
      </c>
      <c r="E82">
        <v>-656288440</v>
      </c>
      <c r="F82">
        <v>-3.85298408167455E-2</v>
      </c>
    </row>
    <row r="83" spans="1:6" x14ac:dyDescent="0.25">
      <c r="A83">
        <v>2019</v>
      </c>
      <c r="B83">
        <v>1</v>
      </c>
      <c r="C83" t="s">
        <v>9</v>
      </c>
      <c r="D83">
        <v>453967623640</v>
      </c>
      <c r="E83">
        <v>443792531250</v>
      </c>
      <c r="F83">
        <v>23.081845623889102</v>
      </c>
    </row>
    <row r="84" spans="1:6" x14ac:dyDescent="0.25">
      <c r="A84">
        <v>2020</v>
      </c>
      <c r="B84">
        <v>1</v>
      </c>
      <c r="C84" t="s">
        <v>9</v>
      </c>
      <c r="D84">
        <v>548283822260</v>
      </c>
      <c r="E84">
        <v>94316198620</v>
      </c>
      <c r="F84">
        <v>4.2544288593069304</v>
      </c>
    </row>
    <row r="85" spans="1:6" x14ac:dyDescent="0.25">
      <c r="A85">
        <v>2021</v>
      </c>
      <c r="B85">
        <v>1</v>
      </c>
      <c r="C85" t="s">
        <v>9</v>
      </c>
      <c r="D85">
        <v>619774103370</v>
      </c>
      <c r="E85">
        <v>71490281110</v>
      </c>
      <c r="F85">
        <v>2.96305481097765</v>
      </c>
    </row>
    <row r="86" spans="1:6" x14ac:dyDescent="0.25">
      <c r="A86">
        <v>2022</v>
      </c>
      <c r="B86">
        <v>1</v>
      </c>
      <c r="C86" t="s">
        <v>9</v>
      </c>
      <c r="D86">
        <v>589854972440</v>
      </c>
      <c r="E86">
        <v>-29919130930</v>
      </c>
      <c r="F86">
        <v>-1.12263500107022</v>
      </c>
    </row>
    <row r="87" spans="1:6" x14ac:dyDescent="0.25">
      <c r="A87">
        <v>2006</v>
      </c>
      <c r="B87">
        <v>6</v>
      </c>
      <c r="C87" t="s">
        <v>8</v>
      </c>
      <c r="D87">
        <v>21182831200</v>
      </c>
      <c r="E87">
        <v>0</v>
      </c>
      <c r="F87">
        <v>0</v>
      </c>
    </row>
    <row r="88" spans="1:6" x14ac:dyDescent="0.25">
      <c r="A88">
        <v>2007</v>
      </c>
      <c r="B88">
        <v>6</v>
      </c>
      <c r="C88" t="s">
        <v>8</v>
      </c>
      <c r="D88">
        <v>25912758700</v>
      </c>
      <c r="E88">
        <v>4729927500</v>
      </c>
      <c r="F88">
        <v>0.68227621820622197</v>
      </c>
    </row>
    <row r="89" spans="1:6" x14ac:dyDescent="0.25">
      <c r="A89">
        <v>2008</v>
      </c>
      <c r="B89">
        <v>7</v>
      </c>
      <c r="C89" t="s">
        <v>8</v>
      </c>
      <c r="D89">
        <v>28333706410</v>
      </c>
      <c r="E89">
        <v>2420947710</v>
      </c>
      <c r="F89">
        <v>0.27011683957228899</v>
      </c>
    </row>
    <row r="90" spans="1:6" x14ac:dyDescent="0.25">
      <c r="A90">
        <v>2009</v>
      </c>
      <c r="B90">
        <v>6</v>
      </c>
      <c r="C90" t="s">
        <v>8</v>
      </c>
      <c r="D90">
        <v>50720689470</v>
      </c>
      <c r="E90">
        <v>22386983060</v>
      </c>
      <c r="F90">
        <v>2.38220543489575</v>
      </c>
    </row>
    <row r="91" spans="1:6" x14ac:dyDescent="0.25">
      <c r="A91">
        <v>2010</v>
      </c>
      <c r="B91">
        <v>7</v>
      </c>
      <c r="C91" t="s">
        <v>8</v>
      </c>
      <c r="D91">
        <v>34830369850</v>
      </c>
      <c r="E91">
        <v>-15890319620</v>
      </c>
      <c r="F91">
        <v>-1.37717259830901</v>
      </c>
    </row>
    <row r="92" spans="1:6" x14ac:dyDescent="0.25">
      <c r="A92">
        <v>2011</v>
      </c>
      <c r="B92">
        <v>10</v>
      </c>
      <c r="C92" t="s">
        <v>8</v>
      </c>
      <c r="D92">
        <v>22820560870</v>
      </c>
      <c r="E92">
        <v>-12009808980</v>
      </c>
      <c r="F92">
        <v>-0.99859340848010503</v>
      </c>
    </row>
    <row r="93" spans="1:6" x14ac:dyDescent="0.25">
      <c r="A93">
        <v>2012</v>
      </c>
      <c r="B93">
        <v>10</v>
      </c>
      <c r="C93" t="s">
        <v>8</v>
      </c>
      <c r="D93">
        <v>30284222450</v>
      </c>
      <c r="E93">
        <v>7463661580</v>
      </c>
      <c r="F93">
        <v>0.60776843124784696</v>
      </c>
    </row>
    <row r="94" spans="1:6" x14ac:dyDescent="0.25">
      <c r="A94">
        <v>2013</v>
      </c>
      <c r="B94">
        <v>10</v>
      </c>
      <c r="C94" t="s">
        <v>8</v>
      </c>
      <c r="D94">
        <v>27396327840</v>
      </c>
      <c r="E94">
        <v>-2887894610</v>
      </c>
      <c r="F94">
        <v>-0.21022323137538801</v>
      </c>
    </row>
    <row r="95" spans="1:6" x14ac:dyDescent="0.25">
      <c r="A95">
        <v>2014</v>
      </c>
      <c r="B95">
        <v>8</v>
      </c>
      <c r="C95" t="s">
        <v>8</v>
      </c>
      <c r="D95">
        <v>39529170430</v>
      </c>
      <c r="E95">
        <v>12132842590</v>
      </c>
      <c r="F95">
        <v>0.81054533277103602</v>
      </c>
    </row>
    <row r="96" spans="1:6" x14ac:dyDescent="0.25">
      <c r="A96">
        <v>2015</v>
      </c>
      <c r="B96">
        <v>8</v>
      </c>
      <c r="C96" t="s">
        <v>8</v>
      </c>
      <c r="D96">
        <v>54748971820</v>
      </c>
      <c r="E96">
        <v>15219801390</v>
      </c>
      <c r="F96">
        <v>0.90402170433144002</v>
      </c>
    </row>
    <row r="97" spans="1:6" x14ac:dyDescent="0.25">
      <c r="A97">
        <v>2016</v>
      </c>
      <c r="B97">
        <v>8</v>
      </c>
      <c r="C97" t="s">
        <v>8</v>
      </c>
      <c r="D97">
        <v>50538001290</v>
      </c>
      <c r="E97">
        <v>-4210970530</v>
      </c>
      <c r="F97">
        <v>-0.24364438906213401</v>
      </c>
    </row>
    <row r="98" spans="1:6" x14ac:dyDescent="0.25">
      <c r="A98">
        <v>2017</v>
      </c>
      <c r="B98">
        <v>7</v>
      </c>
      <c r="C98" t="s">
        <v>8</v>
      </c>
      <c r="D98">
        <v>55504362210</v>
      </c>
      <c r="E98">
        <v>4966360920</v>
      </c>
      <c r="F98">
        <v>0.28099303647468399</v>
      </c>
    </row>
    <row r="99" spans="1:6" x14ac:dyDescent="0.25">
      <c r="A99">
        <v>2018</v>
      </c>
      <c r="B99">
        <v>7</v>
      </c>
      <c r="C99" t="s">
        <v>8</v>
      </c>
      <c r="D99">
        <v>48250467470</v>
      </c>
      <c r="E99">
        <v>-7253894740</v>
      </c>
      <c r="F99">
        <v>-0.42586672657776498</v>
      </c>
    </row>
    <row r="100" spans="1:6" x14ac:dyDescent="0.25">
      <c r="A100">
        <v>2019</v>
      </c>
      <c r="B100">
        <v>9</v>
      </c>
      <c r="C100" t="s">
        <v>8</v>
      </c>
      <c r="D100">
        <v>5275900690</v>
      </c>
      <c r="E100">
        <v>-42974566780</v>
      </c>
      <c r="F100">
        <v>-2.2351262049759302</v>
      </c>
    </row>
    <row r="101" spans="1:6" x14ac:dyDescent="0.25">
      <c r="A101">
        <v>2020</v>
      </c>
      <c r="B101">
        <v>9</v>
      </c>
      <c r="C101" t="s">
        <v>8</v>
      </c>
      <c r="D101">
        <v>8410741630</v>
      </c>
      <c r="E101">
        <v>3134840940</v>
      </c>
      <c r="F101">
        <v>0.141406862867825</v>
      </c>
    </row>
    <row r="102" spans="1:6" x14ac:dyDescent="0.25">
      <c r="A102">
        <v>2021</v>
      </c>
      <c r="B102">
        <v>9</v>
      </c>
      <c r="C102" t="s">
        <v>8</v>
      </c>
      <c r="D102">
        <v>6611669320</v>
      </c>
      <c r="E102">
        <v>-1799072310</v>
      </c>
      <c r="F102">
        <v>-7.4566077803497499E-2</v>
      </c>
    </row>
    <row r="103" spans="1:6" x14ac:dyDescent="0.25">
      <c r="A103">
        <v>2022</v>
      </c>
      <c r="B103">
        <v>9</v>
      </c>
      <c r="C103" t="s">
        <v>8</v>
      </c>
      <c r="D103">
        <v>20420752930</v>
      </c>
      <c r="E103">
        <v>13809083610</v>
      </c>
      <c r="F103">
        <v>0.51814876005461297</v>
      </c>
    </row>
    <row r="104" spans="1:6" x14ac:dyDescent="0.25">
      <c r="A104">
        <v>2006</v>
      </c>
      <c r="B104">
        <v>4</v>
      </c>
      <c r="C104" t="s">
        <v>12</v>
      </c>
      <c r="D104">
        <v>32845904750</v>
      </c>
      <c r="E104">
        <v>0</v>
      </c>
      <c r="F104">
        <v>0</v>
      </c>
    </row>
    <row r="105" spans="1:6" x14ac:dyDescent="0.25">
      <c r="A105">
        <v>2007</v>
      </c>
      <c r="B105">
        <v>3</v>
      </c>
      <c r="C105" t="s">
        <v>12</v>
      </c>
      <c r="D105">
        <v>47609186510</v>
      </c>
      <c r="E105">
        <v>14763281760</v>
      </c>
      <c r="F105">
        <v>2.12955400426871</v>
      </c>
    </row>
    <row r="106" spans="1:6" x14ac:dyDescent="0.25">
      <c r="A106">
        <v>2008</v>
      </c>
      <c r="B106">
        <v>3</v>
      </c>
      <c r="C106" t="s">
        <v>12</v>
      </c>
      <c r="D106">
        <v>69547095470</v>
      </c>
      <c r="E106">
        <v>21937908960</v>
      </c>
      <c r="F106">
        <v>2.4477185569199298</v>
      </c>
    </row>
    <row r="107" spans="1:6" x14ac:dyDescent="0.25">
      <c r="A107">
        <v>2009</v>
      </c>
      <c r="B107">
        <v>3</v>
      </c>
      <c r="C107" t="s">
        <v>12</v>
      </c>
      <c r="D107">
        <v>64337659960</v>
      </c>
      <c r="E107">
        <v>-5209435510</v>
      </c>
      <c r="F107">
        <v>-0.55433756086743202</v>
      </c>
    </row>
    <row r="108" spans="1:6" x14ac:dyDescent="0.25">
      <c r="A108">
        <v>2010</v>
      </c>
      <c r="B108">
        <v>4</v>
      </c>
      <c r="C108" t="s">
        <v>12</v>
      </c>
      <c r="D108">
        <v>92562998490</v>
      </c>
      <c r="E108">
        <v>28225338530</v>
      </c>
      <c r="F108">
        <v>2.44621654762609</v>
      </c>
    </row>
    <row r="109" spans="1:6" x14ac:dyDescent="0.25">
      <c r="A109">
        <v>2011</v>
      </c>
      <c r="B109">
        <v>4</v>
      </c>
      <c r="C109" t="s">
        <v>12</v>
      </c>
      <c r="D109">
        <v>96590846510</v>
      </c>
      <c r="E109">
        <v>4027848020</v>
      </c>
      <c r="F109">
        <v>0.33490811467774401</v>
      </c>
    </row>
    <row r="110" spans="1:6" x14ac:dyDescent="0.25">
      <c r="A110">
        <v>2012</v>
      </c>
      <c r="B110">
        <v>4</v>
      </c>
      <c r="C110" t="s">
        <v>12</v>
      </c>
      <c r="D110">
        <v>105212309820</v>
      </c>
      <c r="E110">
        <v>8621463310</v>
      </c>
      <c r="F110">
        <v>0.70204860909295996</v>
      </c>
    </row>
    <row r="111" spans="1:6" x14ac:dyDescent="0.25">
      <c r="A111">
        <v>2013</v>
      </c>
      <c r="B111">
        <v>4</v>
      </c>
      <c r="C111" t="s">
        <v>12</v>
      </c>
      <c r="D111">
        <v>118853446790</v>
      </c>
      <c r="E111">
        <v>13641136970</v>
      </c>
      <c r="F111">
        <v>0.99300157406633005</v>
      </c>
    </row>
    <row r="112" spans="1:6" x14ac:dyDescent="0.25">
      <c r="A112">
        <v>2014</v>
      </c>
      <c r="B112">
        <v>4</v>
      </c>
      <c r="C112" t="s">
        <v>12</v>
      </c>
      <c r="D112">
        <v>165346579520</v>
      </c>
      <c r="E112">
        <v>46493132730</v>
      </c>
      <c r="F112">
        <v>3.10601505464729</v>
      </c>
    </row>
    <row r="113" spans="1:6" x14ac:dyDescent="0.25">
      <c r="A113">
        <v>2015</v>
      </c>
      <c r="B113">
        <v>3</v>
      </c>
      <c r="C113" t="s">
        <v>12</v>
      </c>
      <c r="D113">
        <v>245186172300</v>
      </c>
      <c r="E113">
        <v>79839592780</v>
      </c>
      <c r="F113">
        <v>4.7422908412935403</v>
      </c>
    </row>
    <row r="114" spans="1:6" x14ac:dyDescent="0.25">
      <c r="A114">
        <v>2016</v>
      </c>
      <c r="B114">
        <v>4</v>
      </c>
      <c r="C114" t="s">
        <v>12</v>
      </c>
      <c r="D114">
        <v>209063305600</v>
      </c>
      <c r="E114">
        <v>-36122866700</v>
      </c>
      <c r="F114">
        <v>-2.0900487727455999</v>
      </c>
    </row>
    <row r="115" spans="1:6" x14ac:dyDescent="0.25">
      <c r="A115">
        <v>2017</v>
      </c>
      <c r="B115">
        <v>4</v>
      </c>
      <c r="C115" t="s">
        <v>12</v>
      </c>
      <c r="D115">
        <v>195117929990</v>
      </c>
      <c r="E115">
        <v>-13945375610</v>
      </c>
      <c r="F115">
        <v>-0.78901906256017695</v>
      </c>
    </row>
    <row r="116" spans="1:6" x14ac:dyDescent="0.25">
      <c r="A116">
        <v>2018</v>
      </c>
      <c r="B116">
        <v>4</v>
      </c>
      <c r="C116" t="s">
        <v>12</v>
      </c>
      <c r="D116">
        <v>197775183470</v>
      </c>
      <c r="E116">
        <v>2657253480</v>
      </c>
      <c r="F116">
        <v>0.156003896082861</v>
      </c>
    </row>
    <row r="117" spans="1:6" x14ac:dyDescent="0.25">
      <c r="A117">
        <v>2019</v>
      </c>
      <c r="B117">
        <v>4</v>
      </c>
      <c r="C117" t="s">
        <v>12</v>
      </c>
      <c r="D117">
        <v>161067720340</v>
      </c>
      <c r="E117">
        <v>-36707463130</v>
      </c>
      <c r="F117">
        <v>-1.9091713752477899</v>
      </c>
    </row>
    <row r="118" spans="1:6" x14ac:dyDescent="0.25">
      <c r="A118">
        <v>2020</v>
      </c>
      <c r="B118">
        <v>6</v>
      </c>
      <c r="C118" t="s">
        <v>12</v>
      </c>
      <c r="D118">
        <v>167644624140</v>
      </c>
      <c r="E118">
        <v>6576903800</v>
      </c>
      <c r="F118">
        <v>0.29667193696324401</v>
      </c>
    </row>
    <row r="119" spans="1:6" x14ac:dyDescent="0.25">
      <c r="A119">
        <v>2021</v>
      </c>
      <c r="B119">
        <v>5</v>
      </c>
      <c r="C119" t="s">
        <v>12</v>
      </c>
      <c r="D119">
        <v>184582848140</v>
      </c>
      <c r="E119">
        <v>16938224000</v>
      </c>
      <c r="F119">
        <v>0.70203789009296103</v>
      </c>
    </row>
    <row r="120" spans="1:6" x14ac:dyDescent="0.25">
      <c r="A120">
        <v>2022</v>
      </c>
      <c r="B120">
        <v>6</v>
      </c>
      <c r="C120" t="s">
        <v>12</v>
      </c>
      <c r="D120">
        <v>217986079910</v>
      </c>
      <c r="E120">
        <v>33403231770</v>
      </c>
      <c r="F120">
        <v>1.2533665239675</v>
      </c>
    </row>
    <row r="121" spans="1:6" x14ac:dyDescent="0.25">
      <c r="A121">
        <v>2006</v>
      </c>
      <c r="B121">
        <v>1</v>
      </c>
      <c r="C121" t="s">
        <v>15</v>
      </c>
      <c r="D121">
        <v>89811751570</v>
      </c>
      <c r="E121">
        <v>0</v>
      </c>
      <c r="F121">
        <v>0</v>
      </c>
    </row>
    <row r="122" spans="1:6" x14ac:dyDescent="0.25">
      <c r="A122">
        <v>2007</v>
      </c>
      <c r="B122">
        <v>1</v>
      </c>
      <c r="C122" t="s">
        <v>15</v>
      </c>
      <c r="D122">
        <v>105823098630</v>
      </c>
      <c r="E122">
        <v>16011347060</v>
      </c>
      <c r="F122">
        <v>2.3095832484713799</v>
      </c>
    </row>
    <row r="123" spans="1:6" x14ac:dyDescent="0.25">
      <c r="A123">
        <v>2008</v>
      </c>
      <c r="B123">
        <v>2</v>
      </c>
      <c r="C123" t="s">
        <v>15</v>
      </c>
      <c r="D123">
        <v>163928402410</v>
      </c>
      <c r="E123">
        <v>58105303780</v>
      </c>
      <c r="F123">
        <v>6.4830896407264298</v>
      </c>
    </row>
    <row r="124" spans="1:6" x14ac:dyDescent="0.25">
      <c r="A124">
        <v>2009</v>
      </c>
      <c r="B124">
        <v>1</v>
      </c>
      <c r="C124" t="s">
        <v>15</v>
      </c>
      <c r="D124">
        <v>187032845850</v>
      </c>
      <c r="E124">
        <v>23104443440</v>
      </c>
      <c r="F124">
        <v>2.4585506044068701</v>
      </c>
    </row>
    <row r="125" spans="1:6" x14ac:dyDescent="0.25">
      <c r="A125">
        <v>2010</v>
      </c>
      <c r="B125">
        <v>2</v>
      </c>
      <c r="C125" t="s">
        <v>15</v>
      </c>
      <c r="D125">
        <v>190441336620</v>
      </c>
      <c r="E125">
        <v>3408490770</v>
      </c>
      <c r="F125">
        <v>0.29540501401400898</v>
      </c>
    </row>
    <row r="126" spans="1:6" x14ac:dyDescent="0.25">
      <c r="A126">
        <v>2011</v>
      </c>
      <c r="B126">
        <v>2</v>
      </c>
      <c r="C126" t="s">
        <v>15</v>
      </c>
      <c r="D126">
        <v>204193830470</v>
      </c>
      <c r="E126">
        <v>13752493850</v>
      </c>
      <c r="F126">
        <v>1.1434944328959</v>
      </c>
    </row>
    <row r="127" spans="1:6" x14ac:dyDescent="0.25">
      <c r="A127">
        <v>2012</v>
      </c>
      <c r="B127">
        <v>1</v>
      </c>
      <c r="C127" t="s">
        <v>15</v>
      </c>
      <c r="D127">
        <v>220761990370</v>
      </c>
      <c r="E127">
        <v>16568159900</v>
      </c>
      <c r="F127">
        <v>1.3491507409807399</v>
      </c>
    </row>
    <row r="128" spans="1:6" x14ac:dyDescent="0.25">
      <c r="A128">
        <v>2013</v>
      </c>
      <c r="B128">
        <v>2</v>
      </c>
      <c r="C128" t="s">
        <v>15</v>
      </c>
      <c r="D128">
        <v>223574185060</v>
      </c>
      <c r="E128">
        <v>2812194690</v>
      </c>
      <c r="F128">
        <v>0.20471268339965801</v>
      </c>
    </row>
    <row r="129" spans="1:6" x14ac:dyDescent="0.25">
      <c r="A129">
        <v>2014</v>
      </c>
      <c r="B129">
        <v>1</v>
      </c>
      <c r="C129" t="s">
        <v>15</v>
      </c>
      <c r="D129">
        <v>265415076870</v>
      </c>
      <c r="E129">
        <v>41840891810</v>
      </c>
      <c r="F129">
        <v>2.7952179651226601</v>
      </c>
    </row>
    <row r="130" spans="1:6" x14ac:dyDescent="0.25">
      <c r="A130">
        <v>2015</v>
      </c>
      <c r="B130">
        <v>1</v>
      </c>
      <c r="C130" t="s">
        <v>15</v>
      </c>
      <c r="D130">
        <v>298614673530</v>
      </c>
      <c r="E130">
        <v>33199596660</v>
      </c>
      <c r="F130">
        <v>1.9719807891454699</v>
      </c>
    </row>
    <row r="131" spans="1:6" x14ac:dyDescent="0.25">
      <c r="A131">
        <v>2016</v>
      </c>
      <c r="B131">
        <v>1</v>
      </c>
      <c r="C131" t="s">
        <v>15</v>
      </c>
      <c r="D131">
        <v>308476900510</v>
      </c>
      <c r="E131">
        <v>9862226980</v>
      </c>
      <c r="F131">
        <v>0.57062291227533002</v>
      </c>
    </row>
    <row r="132" spans="1:6" x14ac:dyDescent="0.25">
      <c r="A132">
        <v>2017</v>
      </c>
      <c r="B132">
        <v>1</v>
      </c>
      <c r="C132" t="s">
        <v>15</v>
      </c>
      <c r="D132">
        <v>348386043550</v>
      </c>
      <c r="E132">
        <v>39909143040</v>
      </c>
      <c r="F132">
        <v>2.2580298666477301</v>
      </c>
    </row>
    <row r="133" spans="1:6" x14ac:dyDescent="0.25">
      <c r="A133">
        <v>2018</v>
      </c>
      <c r="B133">
        <v>1</v>
      </c>
      <c r="C133" t="s">
        <v>15</v>
      </c>
      <c r="D133">
        <v>341876139260</v>
      </c>
      <c r="E133">
        <v>-6509904290</v>
      </c>
      <c r="F133">
        <v>-0.38218801480938602</v>
      </c>
    </row>
    <row r="134" spans="1:6" x14ac:dyDescent="0.25">
      <c r="A134">
        <v>2006</v>
      </c>
      <c r="B134">
        <v>7</v>
      </c>
      <c r="C134" t="s">
        <v>11</v>
      </c>
      <c r="D134">
        <v>20480865800</v>
      </c>
      <c r="E134">
        <v>0</v>
      </c>
      <c r="F134">
        <v>0</v>
      </c>
    </row>
    <row r="135" spans="1:6" x14ac:dyDescent="0.25">
      <c r="A135">
        <v>2007</v>
      </c>
      <c r="B135">
        <v>7</v>
      </c>
      <c r="C135" t="s">
        <v>11</v>
      </c>
      <c r="D135">
        <v>24952594800</v>
      </c>
      <c r="E135">
        <v>4471729000</v>
      </c>
      <c r="F135">
        <v>0.64503194836772704</v>
      </c>
    </row>
    <row r="136" spans="1:6" x14ac:dyDescent="0.25">
      <c r="A136">
        <v>2008</v>
      </c>
      <c r="B136">
        <v>6</v>
      </c>
      <c r="C136" t="s">
        <v>11</v>
      </c>
      <c r="D136">
        <v>31481508600</v>
      </c>
      <c r="E136">
        <v>6528913800</v>
      </c>
      <c r="F136">
        <v>0.72846247534024799</v>
      </c>
    </row>
    <row r="137" spans="1:6" x14ac:dyDescent="0.25">
      <c r="A137">
        <v>2009</v>
      </c>
      <c r="B137">
        <v>7</v>
      </c>
      <c r="C137" t="s">
        <v>11</v>
      </c>
      <c r="D137">
        <v>34725674900</v>
      </c>
      <c r="E137">
        <v>3244166300</v>
      </c>
      <c r="F137">
        <v>0.34521268769681401</v>
      </c>
    </row>
    <row r="138" spans="1:6" x14ac:dyDescent="0.25">
      <c r="A138">
        <v>2010</v>
      </c>
      <c r="B138">
        <v>8</v>
      </c>
      <c r="C138" t="s">
        <v>11</v>
      </c>
      <c r="D138">
        <v>34826365930</v>
      </c>
      <c r="E138">
        <v>100691030</v>
      </c>
      <c r="F138">
        <v>8.7266292137370104E-3</v>
      </c>
    </row>
    <row r="139" spans="1:6" x14ac:dyDescent="0.25">
      <c r="A139">
        <v>2011</v>
      </c>
      <c r="B139">
        <v>7</v>
      </c>
      <c r="C139" t="s">
        <v>11</v>
      </c>
      <c r="D139">
        <v>36365205820</v>
      </c>
      <c r="E139">
        <v>1538839890</v>
      </c>
      <c r="F139">
        <v>0.127951691273299</v>
      </c>
    </row>
    <row r="140" spans="1:6" x14ac:dyDescent="0.25">
      <c r="A140">
        <v>2012</v>
      </c>
      <c r="B140">
        <v>7</v>
      </c>
      <c r="C140" t="s">
        <v>11</v>
      </c>
      <c r="D140">
        <v>40913327130</v>
      </c>
      <c r="E140">
        <v>4548121310</v>
      </c>
      <c r="F140">
        <v>0.37035502267555898</v>
      </c>
    </row>
    <row r="141" spans="1:6" x14ac:dyDescent="0.25">
      <c r="A141">
        <v>2013</v>
      </c>
      <c r="B141">
        <v>7</v>
      </c>
      <c r="C141" t="s">
        <v>11</v>
      </c>
      <c r="D141">
        <v>50942639750</v>
      </c>
      <c r="E141">
        <v>10029312620</v>
      </c>
      <c r="F141">
        <v>0.73008014217331796</v>
      </c>
    </row>
    <row r="142" spans="1:6" x14ac:dyDescent="0.25">
      <c r="A142">
        <v>2014</v>
      </c>
      <c r="B142">
        <v>6</v>
      </c>
      <c r="C142" t="s">
        <v>11</v>
      </c>
      <c r="D142">
        <v>59966727610</v>
      </c>
      <c r="E142">
        <v>9024087860</v>
      </c>
      <c r="F142">
        <v>0.60286221000405904</v>
      </c>
    </row>
    <row r="143" spans="1:6" x14ac:dyDescent="0.25">
      <c r="A143">
        <v>2015</v>
      </c>
      <c r="B143">
        <v>6</v>
      </c>
      <c r="C143" t="s">
        <v>11</v>
      </c>
      <c r="D143">
        <v>64758465430</v>
      </c>
      <c r="E143">
        <v>4791737820</v>
      </c>
      <c r="F143">
        <v>0.28461836522991701</v>
      </c>
    </row>
    <row r="144" spans="1:6" x14ac:dyDescent="0.25">
      <c r="A144">
        <v>2016</v>
      </c>
      <c r="B144">
        <v>6</v>
      </c>
      <c r="C144" t="s">
        <v>11</v>
      </c>
      <c r="D144">
        <v>63767309290</v>
      </c>
      <c r="E144">
        <v>-991156140</v>
      </c>
      <c r="F144">
        <v>-5.7347737409951097E-2</v>
      </c>
    </row>
    <row r="145" spans="1:6" x14ac:dyDescent="0.25">
      <c r="A145">
        <v>2017</v>
      </c>
      <c r="B145">
        <v>6</v>
      </c>
      <c r="C145" t="s">
        <v>11</v>
      </c>
      <c r="D145">
        <v>62597908050</v>
      </c>
      <c r="E145">
        <v>-1169401240</v>
      </c>
      <c r="F145">
        <v>-6.6163859328383395E-2</v>
      </c>
    </row>
    <row r="146" spans="1:6" x14ac:dyDescent="0.25">
      <c r="A146">
        <v>2018</v>
      </c>
      <c r="B146">
        <v>6</v>
      </c>
      <c r="C146" t="s">
        <v>11</v>
      </c>
      <c r="D146">
        <v>62836194590</v>
      </c>
      <c r="E146">
        <v>238286540</v>
      </c>
      <c r="F146">
        <v>1.3989492874464E-2</v>
      </c>
    </row>
    <row r="147" spans="1:6" x14ac:dyDescent="0.25">
      <c r="A147">
        <v>2019</v>
      </c>
      <c r="B147">
        <v>8</v>
      </c>
      <c r="C147" t="s">
        <v>11</v>
      </c>
      <c r="D147">
        <v>64544841800</v>
      </c>
      <c r="E147">
        <v>1708647210</v>
      </c>
      <c r="F147">
        <v>8.8867496295677695E-2</v>
      </c>
    </row>
    <row r="148" spans="1:6" x14ac:dyDescent="0.25">
      <c r="A148">
        <v>2020</v>
      </c>
      <c r="B148">
        <v>8</v>
      </c>
      <c r="C148" t="s">
        <v>11</v>
      </c>
      <c r="D148">
        <v>63830695970</v>
      </c>
      <c r="E148">
        <v>-714145830</v>
      </c>
      <c r="F148">
        <v>-3.2213794378492103E-2</v>
      </c>
    </row>
    <row r="149" spans="1:6" x14ac:dyDescent="0.25">
      <c r="A149">
        <v>2021</v>
      </c>
      <c r="B149">
        <v>8</v>
      </c>
      <c r="C149" t="s">
        <v>11</v>
      </c>
      <c r="D149">
        <v>65463002730</v>
      </c>
      <c r="E149">
        <v>1632306760</v>
      </c>
      <c r="F149">
        <v>6.7654152747943105E-2</v>
      </c>
    </row>
    <row r="150" spans="1:6" x14ac:dyDescent="0.25">
      <c r="A150">
        <v>2022</v>
      </c>
      <c r="B150">
        <v>8</v>
      </c>
      <c r="C150" t="s">
        <v>11</v>
      </c>
      <c r="D150">
        <v>76810865980</v>
      </c>
      <c r="E150">
        <v>11347863250</v>
      </c>
      <c r="F150">
        <v>0.42579807888184701</v>
      </c>
    </row>
    <row r="151" spans="1:6" x14ac:dyDescent="0.25">
      <c r="A151">
        <v>2010</v>
      </c>
      <c r="B151">
        <v>1</v>
      </c>
      <c r="C151" t="s">
        <v>16</v>
      </c>
      <c r="D151">
        <v>198955462476.79999</v>
      </c>
      <c r="E151">
        <v>0</v>
      </c>
      <c r="F151">
        <v>0</v>
      </c>
    </row>
    <row r="152" spans="1:6" x14ac:dyDescent="0.25">
      <c r="A152">
        <v>2011</v>
      </c>
      <c r="B152">
        <v>1</v>
      </c>
      <c r="C152" t="s">
        <v>16</v>
      </c>
      <c r="D152">
        <v>212643177054</v>
      </c>
      <c r="E152">
        <v>13687714577.200001</v>
      </c>
      <c r="F152">
        <v>1.1381081561506201</v>
      </c>
    </row>
    <row r="153" spans="1:6" x14ac:dyDescent="0.25">
      <c r="A153">
        <v>2012</v>
      </c>
      <c r="B153">
        <v>2</v>
      </c>
      <c r="C153" t="s">
        <v>16</v>
      </c>
      <c r="D153">
        <v>219260030955.39999</v>
      </c>
      <c r="E153">
        <v>6616853901.3999596</v>
      </c>
      <c r="F153">
        <v>0.53881260187711399</v>
      </c>
    </row>
    <row r="154" spans="1:6" x14ac:dyDescent="0.25">
      <c r="A154">
        <v>2013</v>
      </c>
      <c r="B154">
        <v>1</v>
      </c>
      <c r="C154" t="s">
        <v>16</v>
      </c>
      <c r="D154">
        <v>229274512668</v>
      </c>
      <c r="E154">
        <v>10014481712.6001</v>
      </c>
      <c r="F154">
        <v>0.72900053169617696</v>
      </c>
    </row>
    <row r="155" spans="1:6" x14ac:dyDescent="0.25">
      <c r="A155">
        <v>2014</v>
      </c>
      <c r="B155">
        <v>2</v>
      </c>
      <c r="C155" t="s">
        <v>16</v>
      </c>
      <c r="D155">
        <v>258881646142.79999</v>
      </c>
      <c r="E155">
        <v>29607133474.7999</v>
      </c>
      <c r="F155">
        <v>1.9779308663006501</v>
      </c>
    </row>
    <row r="156" spans="1:6" x14ac:dyDescent="0.25">
      <c r="A156">
        <v>2015</v>
      </c>
      <c r="B156">
        <v>2</v>
      </c>
      <c r="C156" t="s">
        <v>16</v>
      </c>
      <c r="D156">
        <v>272439876153</v>
      </c>
      <c r="E156">
        <v>13558230010.200001</v>
      </c>
      <c r="F156">
        <v>0.80532813060175301</v>
      </c>
    </row>
    <row r="157" spans="1:6" x14ac:dyDescent="0.25">
      <c r="A157">
        <v>2016</v>
      </c>
      <c r="B157">
        <v>2</v>
      </c>
      <c r="C157" t="s">
        <v>16</v>
      </c>
      <c r="D157">
        <v>271413817996</v>
      </c>
      <c r="E157">
        <v>-1026058156.99991</v>
      </c>
      <c r="F157">
        <v>-5.93671485049461E-2</v>
      </c>
    </row>
    <row r="158" spans="1:6" x14ac:dyDescent="0.25">
      <c r="A158">
        <v>2017</v>
      </c>
      <c r="B158">
        <v>3</v>
      </c>
      <c r="C158" t="s">
        <v>16</v>
      </c>
      <c r="D158">
        <v>261609454425.60001</v>
      </c>
      <c r="E158">
        <v>-9804363570.3999901</v>
      </c>
      <c r="F158">
        <v>-0.55472365676324398</v>
      </c>
    </row>
    <row r="159" spans="1:6" x14ac:dyDescent="0.25">
      <c r="A159">
        <v>2018</v>
      </c>
      <c r="B159">
        <v>2</v>
      </c>
      <c r="C159" t="s">
        <v>16</v>
      </c>
      <c r="D159">
        <v>252359118638</v>
      </c>
      <c r="E159">
        <v>-9250335787.6000099</v>
      </c>
      <c r="F159">
        <v>-0.543075184133477</v>
      </c>
    </row>
    <row r="160" spans="1:6" x14ac:dyDescent="0.25">
      <c r="A160">
        <v>2019</v>
      </c>
      <c r="B160">
        <v>3</v>
      </c>
      <c r="C160" t="s">
        <v>16</v>
      </c>
      <c r="D160">
        <v>292530913928.59998</v>
      </c>
      <c r="E160">
        <v>40171795290.599899</v>
      </c>
      <c r="F160">
        <v>2.0893528215096602</v>
      </c>
    </row>
    <row r="161" spans="1:6" x14ac:dyDescent="0.25">
      <c r="A161">
        <v>2020</v>
      </c>
      <c r="B161">
        <v>3</v>
      </c>
      <c r="C161" t="s">
        <v>16</v>
      </c>
      <c r="D161">
        <v>320737795019.09998</v>
      </c>
      <c r="E161">
        <v>28206881090.499901</v>
      </c>
      <c r="F161">
        <v>1.27236011097053</v>
      </c>
    </row>
    <row r="162" spans="1:6" x14ac:dyDescent="0.25">
      <c r="A162">
        <v>2021</v>
      </c>
      <c r="B162">
        <v>2</v>
      </c>
      <c r="C162" t="s">
        <v>16</v>
      </c>
      <c r="D162">
        <v>406931926209</v>
      </c>
      <c r="E162">
        <v>86194131189.900101</v>
      </c>
      <c r="F162">
        <v>3.5724846949097699</v>
      </c>
    </row>
    <row r="163" spans="1:6" x14ac:dyDescent="0.25">
      <c r="A163">
        <v>2022</v>
      </c>
      <c r="B163">
        <v>2</v>
      </c>
      <c r="C163" t="s">
        <v>16</v>
      </c>
      <c r="D163">
        <v>427761671244.29999</v>
      </c>
      <c r="E163">
        <v>20829745035.299999</v>
      </c>
      <c r="F163">
        <v>0.781580216842097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Yearly_Spend</vt:lpstr>
      <vt:lpstr>Admin_Pivot1</vt:lpstr>
      <vt:lpstr>Admin_Changes_Pivot</vt:lpstr>
      <vt:lpstr>Admin_Function_Pivot</vt:lpstr>
      <vt:lpstr>Admin_Function_Table</vt:lpstr>
      <vt:lpstr>Function_Spend_Pivot</vt:lpstr>
      <vt:lpstr>Function_Spend_Table</vt:lpstr>
      <vt:lpstr>Ranking_Pivot</vt:lpstr>
      <vt:lpstr>Admin_Table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Sinazo Eunice  Nkunzi</dc:creator>
  <cp:lastModifiedBy>Sinazo Eunice Nkunzi</cp:lastModifiedBy>
  <dcterms:created xsi:type="dcterms:W3CDTF">2026-03-12T14:44:39Z</dcterms:created>
  <dcterms:modified xsi:type="dcterms:W3CDTF">2026-03-15T19:43:13Z</dcterms:modified>
</cp:coreProperties>
</file>